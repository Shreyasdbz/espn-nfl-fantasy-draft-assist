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05c854633540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raft HQ" sheetId="1" r:id="Rcbc4dd00fabb4292"/>
    <x:sheet xmlns:r="http://schemas.openxmlformats.org/officeDocument/2006/relationships" name="Player Database" sheetId="2" r:id="Rccf2beae4a554346"/>
    <x:sheet xmlns:r="http://schemas.openxmlformats.org/officeDocument/2006/relationships" name="Turn Board" sheetId="3" r:id="R15fafa4981e74fd8"/>
    <x:sheet xmlns:r="http://schemas.openxmlformats.org/officeDocument/2006/relationships" name="Live Draft" sheetId="4" r:id="R1852f30bb52b4756"/>
    <x:sheet xmlns:r="http://schemas.openxmlformats.org/officeDocument/2006/relationships" name="Roster Plan" sheetId="5" r:id="R89abb7e578554c39"/>
    <x:sheet xmlns:r="http://schemas.openxmlformats.org/officeDocument/2006/relationships" name="Assumptions" sheetId="6" r:id="Rf0b14c366d5b46e9"/>
  </x:sheets>
</x:workbook>
</file>

<file path=xl/comments1.xml><?xml version="1.0" encoding="utf-8"?>
<x:comments xmlns:x="http://schemas.openxmlformats.org/spreadsheetml/2006/main">
  <x:authors>
    <x:author>tc={00BCEC25-9979-3638-51A7-D578478FDF10}</x:author>
  </x:authors>
  <x:commentList>
    <x:comment ref="S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Phase-aware score: reliability and ceiling weights change by recommended draft phase, then opportunity, role, value gap, and risk adjust the result.</x:t>
        </x:r>
      </x:text>
    </x:comment>
  </x:commentList>
</x:comments>
</file>

<file path=xl/comments2.xml><?xml version="1.0" encoding="utf-8"?>
<x:comments xmlns:x="http://schemas.openxmlformats.org/spreadsheetml/2006/main">
  <x:authors>
    <x:author>tc={D3634DA7-52FF-425F-C9DB-031C1C164156}</x:author>
    <x:author>tc={C7A1CBFC-BCC7-1270-DC13-A5134DEF4F3D}</x:author>
  </x:authors>
  <x:commentList>
    <x:comment ref="B1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Editable reliability weight for Rounds 1–2. Keep B16 + C16 equal to 100%.</x:t>
        </x:r>
      </x:text>
    </x:comment>
    <x:comment ref="B1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The original PDF attachment was unavailable in the current thread. Roster structure is verified from the connected league; scoring uses ESPN full-PPR defaults until the PDF is reattached.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%"/>
    <x:numFmt numFmtId="202" formatCode="0"/>
    <x:numFmt numFmtId="203" formatCode="0.0"/>
  </x:numFmts>
  <x:fonts count="7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4213D"/>
      <x:name val="Carlito"/>
    </x:font>
    <x:font>
      <x:b/>
      <x:sz val="11"/>
      <x:color rgb="FFFFFFFF"/>
      <x:name val="Carlito"/>
    </x:font>
    <x:font>
      <x:sz val="11"/>
      <x:color rgb="FF101828"/>
      <x:name val="Carlito"/>
    </x:font>
    <x:font>
      <x:i/>
      <x:sz val="11"/>
      <x:color rgb="FF101828"/>
      <x:name val="Carlito"/>
    </x:font>
    <x:font>
      <x:b/>
      <x:sz val="12"/>
      <x:color rgb="FF101828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4213D"/>
      </x:patternFill>
    </x:fill>
    <x:fill>
      <x:patternFill patternType="solid">
        <x:fgColor rgb="FFEEF2F7"/>
      </x:patternFill>
    </x:fill>
    <x:fill>
      <x:patternFill patternType="solid">
        <x:fgColor rgb="FF457B9D"/>
      </x:patternFill>
    </x:fill>
    <x:fill>
      <x:patternFill patternType="solid">
        <x:fgColor rgb="FFFFF8DC"/>
      </x:patternFill>
    </x:fill>
    <x:fill>
      <x:patternFill patternType="solid">
        <x:fgColor rgb="FFFFF3BF"/>
      </x:patternFill>
    </x:fill>
    <x:fill>
      <x:patternFill patternType="solid">
        <x:fgColor rgb="FFF8F5EF"/>
      </x:patternFill>
    </x:fill>
  </x:fills>
  <x:borders count="19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E4E7EC"/>
      </x:right>
      <x:bottom style="thin">
        <x:color rgb="FFE4E7EC"/>
      </x:bottom>
    </x:border>
    <x:border>
      <x:left style="thin">
        <x:color rgb="FFE4E7EC"/>
      </x:left>
      <x:right style="thin">
        <x:color rgb="FFE4E7EC"/>
      </x:right>
      <x:bottom style="thin">
        <x:color rgb="FFE4E7EC"/>
      </x:bottom>
    </x:border>
    <x:border>
      <x:left style="thin">
        <x:color rgb="FFE4E7EC"/>
      </x:left>
      <x:bottom style="thin">
        <x:color rgb="FFE4E7EC"/>
      </x:bottom>
    </x:border>
    <x:border>
      <x:right style="thin">
        <x:color rgb="FFE4E7EC"/>
      </x:right>
      <x:top style="thin">
        <x:color rgb="FFE4E7EC"/>
      </x:top>
      <x:bottom style="thin">
        <x:color rgb="FFE4E7EC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  <x:border>
      <x:left style="thin">
        <x:color rgb="FFE4E7EC"/>
      </x:left>
      <x:top style="thin">
        <x:color rgb="FFE4E7EC"/>
      </x:top>
      <x:bottom style="thin">
        <x:color rgb="FFE4E7EC"/>
      </x:bottom>
    </x:border>
    <x:border>
      <x:right style="thin">
        <x:color rgb="FFE4E7EC"/>
      </x:right>
      <x:top style="thin">
        <x:color rgb="FFE4E7EC"/>
      </x:top>
    </x:border>
    <x:border>
      <x:left style="thin">
        <x:color rgb="FFE4E7EC"/>
      </x:left>
      <x:right style="thin">
        <x:color rgb="FFE4E7EC"/>
      </x:right>
      <x:top style="thin">
        <x:color rgb="FFE4E7EC"/>
      </x:top>
    </x:border>
    <x:border>
      <x:left style="thin">
        <x:color rgb="FFE4E7EC"/>
      </x:left>
      <x:top style="thin">
        <x:color rgb="FFE4E7EC"/>
      </x:top>
    </x:border>
  </x:borders>
  <x:cellStyleXfs count="1">
    <x:xf numFmtId="0" fontId="0" fillId="0" borderId="0"/>
  </x:cellStyleXfs>
  <x:cellXfs count="7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1" fontId="0" fillId="5" borderId="0" xfId="0" applyNumberFormat="1" applyFont="1" applyFill="1" applyBorder="1"/>
    <x:xf numFmtId="201" fontId="4" fillId="5" borderId="0" xfId="0" applyNumberFormat="1" applyFont="1" applyFill="1" applyBorder="1"/>
    <x:xf numFmtId="200" fontId="0" fillId="0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2" fillId="3" borderId="4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5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201" fontId="4" fillId="5" borderId="5" xfId="0" applyNumberFormat="1" applyFont="1" applyFill="1" applyBorder="1"/>
    <x:xf numFmtId="0" fontId="3" fillId="4" borderId="6" xfId="0" applyNumberFormat="1" applyFont="1" applyFill="1" applyBorder="1" applyAlignment="1">
      <x:alignment vertical="center" wrapText="1"/>
    </x:xf>
    <x:xf numFmtId="200" fontId="0" fillId="0" borderId="5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 applyAlignment="1">
      <x:alignment horizontal="center"/>
    </x:xf>
    <x:xf numFmtId="203" fontId="0" fillId="0" borderId="0" xfId="0" applyNumberFormat="1" applyFont="1" applyFill="1" applyBorder="1"/>
    <x:xf numFmtId="0" fontId="3" fillId="4" borderId="10" xfId="0" applyNumberFormat="1" applyFont="1" applyFill="1" applyBorder="1" applyAlignment="1">
      <x:alignment vertical="center" wrapText="1"/>
    </x:xf>
    <x:xf numFmtId="0" fontId="3" fillId="4" borderId="11" xfId="0" applyNumberFormat="1" applyFont="1" applyFill="1" applyBorder="1" applyAlignment="1">
      <x:alignment vertical="center" wrapText="1"/>
    </x:xf>
    <x:xf numFmtId="0" fontId="3" fillId="4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2" fontId="0" fillId="0" borderId="14" xfId="0" applyNumberFormat="1" applyFont="1" applyFill="1" applyBorder="1" applyAlignment="1">
      <x:alignment horizontal="center"/>
    </x:xf>
    <x:xf numFmtId="203" fontId="0" fillId="0" borderId="14" xfId="0" applyNumberFormat="1" applyFont="1" applyFill="1" applyBorder="1"/>
    <x:xf numFmtId="0" fontId="4" fillId="5" borderId="14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20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202" fontId="0" fillId="0" borderId="17" xfId="0" applyNumberFormat="1" applyFont="1" applyFill="1" applyBorder="1" applyAlignment="1">
      <x:alignment horizontal="center"/>
    </x:xf>
    <x:xf numFmtId="203" fontId="0" fillId="0" borderId="17" xfId="0" applyNumberFormat="1" applyFont="1" applyFill="1" applyBorder="1"/>
    <x:xf numFmtId="0" fontId="4" fillId="5" borderId="17" xfId="0" applyNumberFormat="1" applyFont="1" applyFill="1" applyBorder="1"/>
    <x:xf numFmtId="0" fontId="0" fillId="0" borderId="17" xfId="0" applyNumberFormat="1" applyFont="1" applyFill="1" applyBorder="1" applyAlignment="1">
      <x:alignment wrapText="1"/>
    </x:xf>
    <x:xf numFmtId="200" fontId="0" fillId="0" borderId="18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/>
    <x:xf numFmtId="0" fontId="0" fillId="0" borderId="17" xfId="0" applyNumberFormat="1" applyFont="1" applyFill="1" applyBorder="1" applyAlignment="1">
      <x:alignment horizontal="center"/>
    </x:xf>
    <x:xf numFmtId="0" fontId="0" fillId="0" borderId="18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9">
    <x:dxf>
      <x:font>
        <x:b/>
        <x:color rgb="FF027A48"/>
      </x:font>
      <x:fill>
        <x:patternFill patternType="solid">
          <x:bgColor rgb="FFD1FADF"/>
        </x:patternFill>
      </x:fill>
    </x:dxf>
    <x:dxf>
      <x:font>
        <x:b/>
        <x:color rgb="FF075985"/>
      </x:font>
      <x:fill>
        <x:patternFill patternType="solid">
          <x:bgColor rgb="FFE0F2FE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7F1D1D"/>
      </x:font>
      <x:fill>
        <x:patternFill patternType="solid">
          <x:bgColor rgb="FFFECACA"/>
        </x:patternFill>
      </x:fill>
    </x:dxf>
    <x:dxf>
      <x:font>
        <x:color rgb="FF667085"/>
      </x:font>
      <x:fill>
        <x:patternFill patternType="solid">
          <x:bgColor rgb="FFE4E7EC"/>
        </x:patternFill>
      </x:fill>
    </x:dxf>
    <x:dxf>
      <x:font>
        <x:b/>
        <x:color rgb="FF05603A"/>
      </x:font>
      <x:fill>
        <x:patternFill patternType="solid">
          <x:bgColor rgb="FFD1FADF"/>
        </x:patternFill>
      </x:fill>
    </x:dxf>
    <x:dxf>
      <x:font>
        <x:b/>
        <x:color rgb="FF101828"/>
      </x:font>
      <x:fill>
        <x:patternFill patternType="solid">
          <x:bgColor rgb="FFFFF3BF"/>
        </x:patternFill>
      </x:fill>
    </x:dxf>
    <x:dxf>
      <x:font>
        <x:b/>
        <x:color rgb="FF027A48"/>
      </x:font>
      <x:fill>
        <x:patternFill patternType="solid">
          <x:bgColor rgb="FFD1FADF"/>
        </x:patternFill>
      </x:fill>
    </x:dxf>
    <x:dxf>
      <x:font>
        <x:color rgb="FF027A48"/>
      </x:font>
      <x:fill>
        <x:patternFill patternType="solid">
          <x:bgColor rgb="FFD1FA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c902e13cf04ec9" /><Relationship Type="http://schemas.openxmlformats.org/officeDocument/2006/relationships/theme" Target="/xl/theme/theme1.xml" Id="R499d98af788d42a3" /><Relationship Type="http://schemas.openxmlformats.org/officeDocument/2006/relationships/sharedStrings" Target="/xl/sharedStrings.xml" Id="R4cac7c8f3f644ef6" /><Relationship Type="http://schemas.openxmlformats.org/officeDocument/2006/relationships/worksheet" Target="/xl/worksheets/sheet1.xml" Id="Rcbc4dd00fabb4292" /><Relationship Type="http://schemas.openxmlformats.org/officeDocument/2006/relationships/worksheet" Target="/xl/worksheets/sheet2.xml" Id="Rccf2beae4a554346" /><Relationship Type="http://schemas.openxmlformats.org/officeDocument/2006/relationships/worksheet" Target="/xl/worksheets/sheet3.xml" Id="R15fafa4981e74fd8" /><Relationship Type="http://schemas.openxmlformats.org/officeDocument/2006/relationships/worksheet" Target="/xl/worksheets/sheet4.xml" Id="R1852f30bb52b4756" /><Relationship Type="http://schemas.openxmlformats.org/officeDocument/2006/relationships/worksheet" Target="/xl/worksheets/sheet5.xml" Id="R89abb7e578554c39" /><Relationship Type="http://schemas.openxmlformats.org/officeDocument/2006/relationships/worksheet" Target="/xl/worksheets/sheet6.xml" Id="Rf0b14c366d5b46e9" /><Relationship Type="http://schemas.microsoft.com/office/2017/10/relationships/person" Target="/xl/persons/person.xml" Id="R6433253ca7b04161" /></Relationships>
</file>

<file path=xl/persons/person.xml><?xml version="1.0" encoding="utf-8"?>
<xltc:personList xmlns:xltc="http://schemas.microsoft.com/office/spreadsheetml/2018/threadedcomments">
  <xltc:person displayName="Shreyas" id="{4B6EE9FE-E11A-4207-9BFE-6BE41125770A}"/>
</xltc:personList>
</file>

<file path=xl/tables/table1.xml><?xml version="1.0" encoding="utf-8"?>
<x:table xmlns:x="http://schemas.openxmlformats.org/spreadsheetml/2006/main" id="1" name="PlayerDatabaseTable" displayName="PlayerDatabaseTable" ref="A5:AH117" headerRowCount="1" totalsRowCount="0" totalsRowShown="0">
  <x:autoFilter ref="A5:AH117"/>
  <x:tableColumns count="34">
    <x:tableColumn id="1" name="Player"/>
    <x:tableColumn id="2" name="Pos"/>
    <x:tableColumn id="3" name="Team"/>
    <x:tableColumn id="4" name="Bye"/>
    <x:tableColumn id="5" name="ESPN Rank"/>
    <x:tableColumn id="6" name="Model Rank"/>
    <x:tableColumn id="7" name="8-Team ADP"/>
    <x:tableColumn id="8" name="ESPN Gap"/>
    <x:tableColumn id="9" name="Market Gap"/>
    <x:tableColumn id="10" name="Rec. Round"/>
    <x:tableColumn id="11" name="Our Pick"/>
    <x:tableColumn id="12" name="Phase"/>
    <x:tableColumn id="13" name="Archetype"/>
    <x:tableColumn id="14" name="Reliability"/>
    <x:tableColumn id="15" name="Ceiling"/>
    <x:tableColumn id="16" name="Opportunity"/>
    <x:tableColumn id="17" name="Role Clarity"/>
    <x:tableColumn id="18" name="Risk"/>
    <x:tableColumn id="19" name="Vision Score"/>
    <x:tableColumn id="20" name="Model Signal"/>
    <x:tableColumn id="21" name="My Tag"/>
    <x:tableColumn id="22" name="Injury / News"/>
    <x:tableColumn id="23" name="Why He Fits"/>
    <x:tableColumn id="24" name="Failure Case"/>
    <x:tableColumn id="25" name="Alternatives"/>
    <x:tableColumn id="26" name="Pairing / Construction"/>
    <x:tableColumn id="27" name="Earliest Pick"/>
    <x:tableColumn id="28" name="Target Pick"/>
    <x:tableColumn id="29" name="Latest Pick"/>
    <x:tableColumn id="30" name="ESPN Source"/>
    <x:tableColumn id="31" name="ADP Source"/>
    <x:tableColumn id="32" name="Analysis Source"/>
    <x:tableColumn id="33" name="Draft Status"/>
    <x:tableColumn id="34" name="Updat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S5" dT="2026-08-27T20:39:04.215" personId="{4B6EE9FE-E11A-4207-9BFE-6BE41125770A}" id="{00BCEC25-9979-3638-51A7-D578478FDF10}">
    <xltc:text>Phase-aware score: reliability and ceiling weights change by recommended draft phase, then opportunity, role, value gap, and risk adjust the result.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B16" dT="2026-08-27T20:39:04.214" personId="{4B6EE9FE-E11A-4207-9BFE-6BE41125770A}" id="{D3634DA7-52FF-425F-C9DB-031C1C164156}">
    <xltc:text>Editable reliability weight for Rounds 1–2. Keep B16 + C16 equal to 100%.</xltc:text>
  </xltc:threadedComment>
  <xltc:threadedComment ref="B11" dT="2026-08-27T20:39:04.215" personId="{4B6EE9FE-E11A-4207-9BFE-6BE41125770A}" id="{C7A1CBFC-BCC7-1270-DC13-A5134DEF4F3D}">
    <xltc:text>The original PDF attachment was unavailable in the current thread. Roster structure is verified from the connected league; scoring uses ESPN full-PPR defaults until the PDF is reattached.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3369f6ce218a4533" /><Relationship Type="http://schemas.openxmlformats.org/officeDocument/2006/relationships/vmlDrawing" Target="/xl/drawings/vmldrawing.vml" Id="R4f28424081fc498c" /><Relationship Type="http://schemas.microsoft.com/office/2017/10/relationships/threadedComment" Target="/xl/threadedcomments/threadedcomment.xml" Id="Rb771dfcfbf4442d5" /><Relationship Type="http://schemas.openxmlformats.org/officeDocument/2006/relationships/table" Target="/xl/tables/table1.xml" Id="Rd7324b481fdb45b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2.xml" Id="Rd9307e9c1c9a4a00" /><Relationship Type="http://schemas.openxmlformats.org/officeDocument/2006/relationships/vmlDrawing" Target="/xl/drawings/vmldrawing2.vml" Id="R1c2d4af1323c48f4" /><Relationship Type="http://schemas.microsoft.com/office/2017/10/relationships/threadedComment" Target="/xl/threadedcomments/threadedcomment2.xml" Id="R1e8a2060af7042e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</x:cols>
  <x:sheetData>
    <x:row r="1">
      <x:c r="A1" s="3" t="str">
        <x:v>SAQUON MY BARK — 2026 DRAFT HQ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</x:row>
    <x:row r="3"/>
    <x:row r="4">
      <x:c r="A4" s="69" t="str">
        <x:v>THE PLAN: build a stable first-turn foundation, buy positional leverage at TE/QB only at our checkpoints, then use both FLEX slots and every bench seat to accumulate ceiling. In an 8-team league, safe replacement-level players are abundant; true weekly separators are not.</x:v>
      </x:c>
      <x:c r="B4" s="69"/>
      <x:c r="C4" s="69"/>
      <x:c r="D4" s="69"/>
      <x:c r="E4" s="69"/>
      <x:c r="F4" s="69"/>
      <x:c r="G4" s="69"/>
      <x:c r="H4" s="69"/>
      <x:c r="I4" s="69"/>
      <x:c r="J4" s="69"/>
    </x:row>
    <x:row r="5">
      <x:c r="A5" s="69"/>
      <x:c r="B5" s="69"/>
      <x:c r="C5" s="69"/>
      <x:c r="D5" s="69"/>
      <x:c r="E5" s="69"/>
      <x:c r="F5" s="69"/>
      <x:c r="G5" s="69"/>
      <x:c r="H5" s="69"/>
      <x:c r="I5" s="69"/>
      <x:c r="J5" s="69"/>
    </x:row>
    <x:row r="6">
      <x:c r="A6" s="69"/>
      <x:c r="B6" s="69"/>
      <x:c r="C6" s="69"/>
      <x:c r="D6" s="69"/>
      <x:c r="E6" s="69"/>
      <x:c r="F6" s="69"/>
      <x:c r="G6" s="69"/>
      <x:c r="H6" s="69"/>
      <x:c r="I6" s="69"/>
      <x:c r="J6" s="69"/>
    </x:row>
    <x:row r="7"/>
    <x:row r="8" ht="15" hidden="0" customHeight="1">
      <x:c r="A8" s="5" t="str">
        <x:v>League</x:v>
      </x:c>
      <x:c r="B8" s="6" t="str">
        <x:v>Idiots Take on Fantasy Football</x:v>
      </x:c>
      <x:c r="D8" s="11" t="str">
        <x:v>Metric</x:v>
      </x:c>
      <x:c r="E8" s="11" t="str">
        <x:v>Value</x:v>
      </x:c>
      <x:c r="F8" s="11" t="str">
        <x:v>Interpretation</x:v>
      </x:c>
      <x:c r="G8" s="11" t="str">
        <x:v>Metric</x:v>
      </x:c>
      <x:c r="H8" s="11" t="str">
        <x:v>Value</x:v>
      </x:c>
      <x:c r="I8" s="11" t="str">
        <x:v>Interpretation</x:v>
      </x:c>
      <x:c r="J8" s="11" t="str">
        <x:v>Status</x:v>
      </x:c>
    </x:row>
    <x:row r="9" ht="15" hidden="0" customHeight="1">
      <x:c r="A9" s="5" t="str">
        <x:v>Draft slot</x:v>
      </x:c>
      <x:c r="B9" s="6" t="str">
        <x:v>8 of 8</x:v>
      </x:c>
      <x:c r="D9" t="str">
        <x:v>Priority players</x:v>
      </x:c>
      <x:c r="E9" t="n">
        <x:f>COUNTIF('Player Database'!$T$6:$T$117,"Priority")</x:f>
        <x:v>25</x:v>
      </x:c>
      <x:c r="F9" t="str">
        <x:v>Model/manual priority</x:v>
      </x:c>
      <x:c r="G9" t="str">
        <x:v>Targets</x:v>
      </x:c>
      <x:c r="H9" t="n">
        <x:f>COUNTIF('Player Database'!$T$6:$T$117,"Target")</x:f>
        <x:v>57</x:v>
      </x:c>
      <x:c r="I9" t="str">
        <x:v>Strong fits</x:v>
      </x:c>
      <x:c r="J9" t="str">
        <x:v>Available pool</x:v>
      </x:c>
    </x:row>
    <x:row r="10" ht="15" hidden="0" customHeight="1">
      <x:c r="A10" s="5" t="str">
        <x:v>Format</x:v>
      </x:c>
      <x:c r="B10" s="6" t="str">
        <x:v>Snake / 16 rounds</x:v>
      </x:c>
      <x:c r="D10" t="str">
        <x:v>Red-risk players</x:v>
      </x:c>
      <x:c r="E10" t="n">
        <x:f>COUNTIF('Player Database'!$R$6:$R$117,"&gt;=7")</x:f>
        <x:v>2</x:v>
      </x:c>
      <x:c r="F10" t="str">
        <x:v>Risk rating &gt;= 7</x:v>
      </x:c>
      <x:c r="G10" t="str">
        <x:v>ESPN bargains</x:v>
      </x:c>
      <x:c r="H10" t="n">
        <x:f>COUNTIF('Player Database'!$H$6:$H$117,"&gt;=10")</x:f>
        <x:v>27</x:v>
      </x:c>
      <x:c r="I10" t="str">
        <x:v>ESPN gap &gt;= 10</x:v>
      </x:c>
      <x:c r="J10" t="str">
        <x:v>Review</x:v>
      </x:c>
    </x:row>
    <x:row r="11" ht="26.399999618530273" hidden="0" customHeight="1">
      <x:c r="A11" s="5" t="str">
        <x:v>Starters</x:v>
      </x:c>
      <x:c r="B11" s="6" t="str">
        <x:v>QB / 2 RB / 2 WR / TE / 2 FLEX / D/ST / K</x:v>
      </x:c>
      <x:c r="D11" t="str">
        <x:v>Opening picks</x:v>
      </x:c>
      <x:c r="E11" t="str">
        <x:v>8 / 9</x:v>
      </x:c>
      <x:c r="F11" t="str">
        <x:v>Control the turn</x:v>
      </x:c>
      <x:c r="G11" t="str">
        <x:v>Next picks</x:v>
      </x:c>
      <x:c r="H11" t="str">
        <x:v>24 / 25</x:v>
      </x:c>
      <x:c r="I11" t="str">
        <x:v>Long wait after 2.01</x:v>
      </x:c>
      <x:c r="J11" t="str">
        <x:v>Ready</x:v>
      </x:c>
    </x:row>
    <x:row r="12" ht="26.399999618530273" hidden="0" customHeight="1">
      <x:c r="A12" s="5" t="str">
        <x:v>Risk posture</x:v>
      </x:c>
      <x:c r="B12" s="6" t="str">
        <x:v>40% reliability / 60% upside overall</x:v>
      </x:c>
      <x:c r="D12" t="str">
        <x:v>RB/WR target</x:v>
      </x:c>
      <x:c r="E12" t="str">
        <x:v>12</x:v>
      </x:c>
      <x:c r="F12" t="str">
        <x:v>Across starters + bench</x:v>
      </x:c>
      <x:c r="G12" t="str">
        <x:v>Onesies</x:v>
      </x:c>
      <x:c r="H12" t="str">
        <x:v>1 QB / 1 TE</x:v>
      </x:c>
      <x:c r="I12" t="str">
        <x:v>No backups</x:v>
      </x:c>
      <x:c r="J12" t="str">
        <x:v>Hard rule</x:v>
      </x:c>
    </x:row>
    <x:row r="13"/>
    <x:row r="14"/>
    <x:row r="15" ht="15" hidden="0" customHeight="1">
      <x:c r="A15" s="27" t="str">
        <x:v>Turn</x:v>
      </x:c>
      <x:c r="B15" s="27" t="str">
        <x:v>Picks</x:v>
      </x:c>
      <x:c r="C15" s="27" t="str">
        <x:v>Primary objective</x:v>
      </x:c>
      <x:c r="D15" s="27" t="str">
        <x:v>Priority names</x:v>
      </x:c>
      <x:c r="E15" s="27" t="str">
        <x:v>Secondary names</x:v>
      </x:c>
      <x:c r="F15" s="27" t="str">
        <x:v>Risk budget</x:v>
      </x:c>
      <x:c r="G15" s="27" t="str">
        <x:v>Expected positions</x:v>
      </x:c>
      <x:c r="H15" s="27" t="str">
        <x:v>Hard no</x:v>
      </x:c>
      <x:c r="I15" s="27" t="str">
        <x:v>Decision rule</x:v>
      </x:c>
      <x:c r="J15" s="27" t="str">
        <x:v>Checkpoint</x:v>
      </x:c>
    </x:row>
    <x:row r="16" ht="56" hidden="0" customHeight="1">
      <x:c r="A16" s="21" t="str">
        <x:v>1</x:v>
      </x:c>
      <x:c r="B16" s="21" t="str">
        <x:v>8 / 9</x:v>
      </x:c>
      <x:c r="C16" s="21" t="str">
        <x:v>One RB + one WR anchor</x:v>
      </x:c>
      <x:c r="D16" s="21" t="str">
        <x:v>Amon-Ra; Taylor; CeeDee</x:v>
      </x:c>
      <x:c r="E16" s="21" t="str">
        <x:v>Jefferson; Cook; Achane</x:v>
      </x:c>
      <x:c r="F16" s="21" t="str">
        <x:v>Low</x:v>
      </x:c>
      <x:c r="G16" s="21" t="str">
        <x:v>RB/WR</x:v>
      </x:c>
      <x:c r="H16" s="21" t="str">
        <x:v>London at 2.01 over better tier</x:v>
      </x:c>
      <x:c r="I16" s="21" t="str">
        <x:v>Take best two; preserve one reliable anchor</x:v>
      </x:c>
      <x:c r="J16" s="21" t="str">
        <x:v>2 cornerstone players</x:v>
      </x:c>
    </x:row>
    <x:row r="17" ht="56" hidden="0" customHeight="1">
      <x:c r="A17" s="21" t="str">
        <x:v>2</x:v>
      </x:c>
      <x:c r="B17" s="21" t="str">
        <x:v>24 / 25</x:v>
      </x:c>
      <x:c r="C17" s="21" t="str">
        <x:v>TE hammer + WR/RB</x:v>
      </x:c>
      <x:c r="D17" s="21" t="str">
        <x:v>Bowers; A.J. Brown; Nico</x:v>
      </x:c>
      <x:c r="E17" s="21" t="str">
        <x:v>Pickens; Nabers; Hampton</x:v>
      </x:c>
      <x:c r="F17" s="21" t="str">
        <x:v>Moderate</x:v>
      </x:c>
      <x:c r="G17" s="21" t="str">
        <x:v>TE + RB/WR</x:v>
      </x:c>
      <x:c r="H17" s="21" t="str">
        <x:v>Force McBride</x:v>
      </x:c>
      <x:c r="I17" s="21" t="str">
        <x:v>Bowers if present; otherwise two best RB/WR</x:v>
      </x:c>
      <x:c r="J17" s="21" t="str">
        <x:v>4 elite starters</x:v>
      </x:c>
    </x:row>
    <x:row r="18" ht="56" hidden="0" customHeight="1">
      <x:c r="A18" s="21" t="str">
        <x:v>3</x:v>
      </x:c>
      <x:c r="B18" s="21" t="str">
        <x:v>40 / 41</x:v>
      </x:c>
      <x:c r="C18" s="21" t="str">
        <x:v>Complete starting depth</x:v>
      </x:c>
      <x:c r="D18" s="21" t="str">
        <x:v>Ladd; Tee; Etienne</x:v>
      </x:c>
      <x:c r="E18" s="21" t="str">
        <x:v>Egbuka; Breece; Loveland</x:v>
      </x:c>
      <x:c r="F18" s="21" t="str">
        <x:v>Moderate</x:v>
      </x:c>
      <x:c r="G18" s="21" t="str">
        <x:v>RB/WR</x:v>
      </x:c>
      <x:c r="H18" s="21" t="str">
        <x:v>Reach QB</x:v>
      </x:c>
      <x:c r="I18" s="21" t="str">
        <x:v>Allen only as faller</x:v>
      </x:c>
      <x:c r="J18" s="21" t="str">
        <x:v>6 skill players</x:v>
      </x:c>
    </x:row>
    <x:row r="19" ht="56" hidden="0" customHeight="1">
      <x:c r="A19" s="21" t="str">
        <x:v>4</x:v>
      </x:c>
      <x:c r="B19" s="21" t="str">
        <x:v>56 / 57</x:v>
      </x:c>
      <x:c r="C19" s="21" t="str">
        <x:v>Premium QB + upside</x:v>
      </x:c>
      <x:c r="D19" s="21" t="str">
        <x:v>Lamar; Watson</x:v>
      </x:c>
      <x:c r="E19" s="21" t="str">
        <x:v>Maye; Rome; Evans</x:v>
      </x:c>
      <x:c r="F19" s="21" t="str">
        <x:v>Rising</x:v>
      </x:c>
      <x:c r="G19" s="21" t="str">
        <x:v>QB + RB/WR</x:v>
      </x:c>
      <x:c r="H19" s="21" t="str">
        <x:v>Backup QB/TE</x:v>
      </x:c>
      <x:c r="I19" s="21" t="str">
        <x:v>Take one QB, then ceiling</x:v>
      </x:c>
      <x:c r="J19" s="21" t="str">
        <x:v>Core complete</x:v>
      </x:c>
    </x:row>
    <x:row r="20" ht="56" hidden="0" customHeight="1">
      <x:c r="A20" s="21" t="str">
        <x:v>5</x:v>
      </x:c>
      <x:c r="B20" s="21" t="str">
        <x:v>72 / 73</x:v>
      </x:c>
      <x:c r="C20" s="21" t="str">
        <x:v>Post-hype / role bets</x:v>
      </x:c>
      <x:c r="D20" s="21" t="str">
        <x:v>BTJ; Daniels; Dak</x:v>
      </x:c>
      <x:c r="E20" s="21" t="str">
        <x:v>Pittman; Rico; Pollard</x:v>
      </x:c>
      <x:c r="F20" s="21" t="str">
        <x:v>High</x:v>
      </x:c>
      <x:c r="G20" s="21" t="str">
        <x:v>RB/WR/QB</x:v>
      </x:c>
      <x:c r="H20" s="21" t="str">
        <x:v>Defense</x:v>
      </x:c>
      <x:c r="I20" s="21" t="str">
        <x:v>Favor players who can become weekly starters</x:v>
      </x:c>
      <x:c r="J20" s="21" t="str">
        <x:v>9–10 useful players</x:v>
      </x:c>
    </x:row>
    <x:row r="21" ht="56" hidden="0" customHeight="1">
      <x:c r="A21" s="21" t="str">
        <x:v>6</x:v>
      </x:c>
      <x:c r="B21" s="21" t="str">
        <x:v>88 / 89</x:v>
      </x:c>
      <x:c r="C21" s="21" t="str">
        <x:v>Late PPR + RB paths</x:v>
      </x:c>
      <x:c r="D21" s="21" t="str">
        <x:v>Downs; Dobbins</x:v>
      </x:c>
      <x:c r="E21" s="21" t="str">
        <x:v>Brooks; Reed; Shakir</x:v>
      </x:c>
      <x:c r="F21" s="21" t="str">
        <x:v>High</x:v>
      </x:c>
      <x:c r="G21" s="21" t="str">
        <x:v>RB/WR</x:v>
      </x:c>
      <x:c r="H21" s="21" t="str">
        <x:v>Floor-only veterans</x:v>
      </x:c>
      <x:c r="I21" s="21" t="str">
        <x:v>Ceiling over median projection</x:v>
      </x:c>
      <x:c r="J21" s="21" t="str">
        <x:v>Bench has upside</x:v>
      </x:c>
    </x:row>
    <x:row r="22" ht="56" hidden="0" customHeight="1">
      <x:c r="A22" s="21" t="str">
        <x:v>7</x:v>
      </x:c>
      <x:c r="B22" s="21" t="str">
        <x:v>104 / 105</x:v>
      </x:c>
      <x:c r="C22" s="21" t="str">
        <x:v>Lottery tickets</x:v>
      </x:c>
      <x:c r="D22" s="21" t="str">
        <x:v>Mason; Corum; Worthy</x:v>
      </x:c>
      <x:c r="E22" s="21" t="str">
        <x:v>Aaron Jones; Monangai</x:v>
      </x:c>
      <x:c r="F22" s="21" t="str">
        <x:v>Very high</x:v>
      </x:c>
      <x:c r="G22" s="21" t="str">
        <x:v>RB/WR</x:v>
      </x:c>
      <x:c r="H22" s="21" t="str">
        <x:v>Second onesie</x:v>
      </x:c>
      <x:c r="I22" s="21" t="str">
        <x:v>Draft paths to role growth</x:v>
      </x:c>
      <x:c r="J22" s="21" t="str">
        <x:v>12 RB/WR</x:v>
      </x:c>
    </x:row>
    <x:row r="23" ht="56" hidden="0" customHeight="1">
      <x:c r="A23" s="21" t="str">
        <x:v>8</x:v>
      </x:c>
      <x:c r="B23" s="21" t="str">
        <x:v>120 / 121</x:v>
      </x:c>
      <x:c r="C23" s="21" t="str">
        <x:v>Close roster</x:v>
      </x:c>
      <x:c r="D23" s="21" t="str">
        <x:v>D/ST; Aubrey</x:v>
      </x:c>
      <x:c r="E23" s="21" t="str">
        <x:v>Best available K/DST</x:v>
      </x:c>
      <x:c r="F23" s="21" t="str">
        <x:v>N/A</x:v>
      </x:c>
      <x:c r="G23" s="21" t="str">
        <x:v>D/ST + K</x:v>
      </x:c>
      <x:c r="H23" s="21" t="str">
        <x:v>Anything else missing</x:v>
      </x:c>
      <x:c r="I23" s="21" t="str">
        <x:v>No early special teams</x:v>
      </x:c>
      <x:c r="J23" s="21" t="str">
        <x:v>Complete</x:v>
      </x:c>
    </x:row>
    <x:row r="24" ht="56" hidden="0" customHeight="1">
      <x:c r="A24" s="21" t="str">
        <x:v>Emergency</x:v>
      </x:c>
      <x:c r="B24" s="21" t="str">
        <x:v>Any</x:v>
      </x:c>
      <x:c r="C24" s="21" t="str">
        <x:v>Exploit two-tier fall</x:v>
      </x:c>
      <x:c r="D24" s="21" t="str">
        <x:v>Best model rank available</x:v>
      </x:c>
      <x:c r="E24" s="21" t="str">
        <x:v>Same-position alternative</x:v>
      </x:c>
      <x:c r="F24" s="21" t="str">
        <x:v>Contextual</x:v>
      </x:c>
      <x:c r="G24" s="21" t="str">
        <x:v>Best value</x:v>
      </x:c>
      <x:c r="H24" s="21" t="str">
        <x:v>Rigid roster script</x:v>
      </x:c>
      <x:c r="I24" s="21" t="str">
        <x:v>Talent &gt; planned position when gap is large</x:v>
      </x:c>
      <x:c r="J24" s="21" t="str">
        <x:v>Rebalance next turn</x:v>
      </x:c>
    </x:row>
    <x:row r="25"/>
    <x:row r="26"/>
    <x:row r="27" ht="15" hidden="0" customHeight="1">
      <x:c r="A27" s="27" t="str">
        <x:v>Key name</x:v>
      </x:c>
      <x:c r="B27" s="27" t="str">
        <x:v>Current stance</x:v>
      </x:c>
      <x:c r="C27" s="27" t="str">
        <x:v>Where</x:v>
      </x:c>
      <x:c r="D27" s="27" t="str">
        <x:v>Why</x:v>
      </x:c>
      <x:c r="E27" s="27" t="str">
        <x:v>Alternative</x:v>
      </x:c>
      <x:c r="F27" s="27" t="str">
        <x:v>Key name</x:v>
      </x:c>
      <x:c r="G27" s="27" t="str">
        <x:v>Current stance</x:v>
      </x:c>
      <x:c r="H27" s="27" t="str">
        <x:v>Where</x:v>
      </x:c>
      <x:c r="I27" s="27" t="str">
        <x:v>Why</x:v>
      </x:c>
      <x:c r="J27" s="27" t="str">
        <x:v>Alternative</x:v>
      </x:c>
    </x:row>
    <x:row r="28" ht="15" hidden="0" customHeight="1">
      <x:c r="A28" s="21" t="str">
        <x:v>Brock Bowers</x:v>
      </x:c>
      <x:c r="B28" s="21" t="str">
        <x:v>Priority</x:v>
      </x:c>
      <x:c r="C28" s="21" t="str">
        <x:v>3.08</x:v>
      </x:c>
      <x:c r="D28" s="21" t="str">
        <x:v>Positional hammer</x:v>
      </x:c>
      <x:c r="E28" s="21" t="str">
        <x:v>A.J. Brown</x:v>
      </x:c>
      <x:c r="F28" s="21" t="str">
        <x:v>Tee Higgins</x:v>
      </x:c>
      <x:c r="G28" s="21" t="str">
        <x:v>Priority</x:v>
      </x:c>
      <x:c r="H28" s="21" t="str">
        <x:v>5.08</x:v>
      </x:c>
      <x:c r="I28" s="21" t="str">
        <x:v>ESPN/model discount</x:v>
      </x:c>
      <x:c r="J28" s="21" t="str">
        <x:v>Ladd</x:v>
      </x:c>
    </x:row>
    <x:row r="29" ht="15" hidden="0" customHeight="1">
      <x:c r="A29" s="21" t="str">
        <x:v>A.J. Brown</x:v>
      </x:c>
      <x:c r="B29" s="21" t="str">
        <x:v>Priority</x:v>
      </x:c>
      <x:c r="C29" s="21" t="str">
        <x:v>3.08–4.01</x:v>
      </x:c>
      <x:c r="D29" s="21" t="str">
        <x:v>ESPN discount</x:v>
      </x:c>
      <x:c r="E29" s="21" t="str">
        <x:v>Nico</x:v>
      </x:c>
      <x:c r="F29" s="21" t="str">
        <x:v>Christian Watson</x:v>
      </x:c>
      <x:c r="G29" s="21" t="str">
        <x:v>Priority</x:v>
      </x:c>
      <x:c r="H29" s="21" t="str">
        <x:v>7.08–8.01</x:v>
      </x:c>
      <x:c r="I29" s="21" t="str">
        <x:v>Volatility at value</x:v>
      </x:c>
      <x:c r="J29" s="21" t="str">
        <x:v>Rome</x:v>
      </x:c>
    </x:row>
    <x:row r="30" ht="15" hidden="0" customHeight="1">
      <x:c r="A30" s="21" t="str">
        <x:v>Ashton Jeanty</x:v>
      </x:c>
      <x:c r="B30" s="21" t="str">
        <x:v>Watch</x:v>
      </x:c>
      <x:c r="C30" s="21" t="str">
        <x:v>Only if discounted</x:v>
      </x:c>
      <x:c r="D30" s="21" t="str">
        <x:v>Ankle uncertainty</x:v>
      </x:c>
      <x:c r="E30" s="21" t="str">
        <x:v>Hampton</x:v>
      </x:c>
      <x:c r="F30" s="21" t="str">
        <x:v>Tucker Kraft</x:v>
      </x:c>
      <x:c r="G30" s="21" t="str">
        <x:v>Avoid</x:v>
      </x:c>
      <x:c r="H30" s="21" t="str">
        <x:v>Do not draft</x:v>
      </x:c>
      <x:c r="I30" s="21" t="str">
        <x:v>ACL + added competition</x:v>
      </x:c>
      <x:c r="J30" s="21" t="str">
        <x:v>LaPorta</x:v>
      </x:c>
    </x:row>
    <x:row r="31" ht="15" hidden="0" customHeight="1">
      <x:c r="A31" s="21" t="str">
        <x:v>Drake London</x:v>
      </x:c>
      <x:c r="B31" s="21" t="str">
        <x:v>Fade at price</x:v>
      </x:c>
      <x:c r="C31" s="21" t="str">
        <x:v>Not 2.01</x:v>
      </x:c>
      <x:c r="D31" s="21" t="str">
        <x:v>Market ahead of model</x:v>
      </x:c>
      <x:c r="E31" s="21" t="str">
        <x:v>CeeDee</x:v>
      </x:c>
      <x:c r="F31" s="21" t="str">
        <x:v>Josh Downs</x:v>
      </x:c>
      <x:c r="G31" s="21" t="str">
        <x:v>Priority</x:v>
      </x:c>
      <x:c r="H31" s="21" t="str">
        <x:v>11.08</x:v>
      </x:c>
      <x:c r="I31" s="21" t="str">
        <x:v>Late PPR discount</x:v>
      </x:c>
      <x:c r="J31" s="21" t="str">
        <x:v>Shakir</x:v>
      </x:c>
    </x:row>
  </x:sheetData>
  <x:mergeCells>
    <x:mergeCell ref="A1:J2"/>
    <x:mergeCell ref="A4:J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" hidden="0" customWidth="1"/>
    <x:col min="3" max="3" width="8" hidden="0" customWidth="1"/>
    <x:col min="4" max="4" width="7" hidden="0" customWidth="1"/>
    <x:col min="5" max="5" width="11" hidden="0" customWidth="1"/>
    <x:col min="6" max="6" width="11" hidden="0" customWidth="1"/>
    <x:col min="7" max="7" width="11" hidden="0" customWidth="1"/>
    <x:col min="8" max="8" width="10" hidden="0" customWidth="1"/>
    <x:col min="9" max="9" width="11" hidden="0" customWidth="1"/>
    <x:col min="10" max="10" width="11" hidden="0" customWidth="1"/>
    <x:col min="11" max="11" width="10" hidden="0" customWidth="1"/>
    <x:col min="12" max="12" width="11" hidden="0" customWidth="1"/>
    <x:col min="13" max="13" width="22" hidden="0" customWidth="1"/>
    <x:col min="14" max="14" width="12" hidden="0" customWidth="1"/>
    <x:col min="15" max="15" width="10" hidden="0" customWidth="1"/>
    <x:col min="16" max="16" width="12" hidden="0" customWidth="1"/>
    <x:col min="17" max="17" width="12" hidden="0" customWidth="1"/>
    <x:col min="18" max="18" width="8" hidden="0" customWidth="1"/>
    <x:col min="19" max="19" width="12" hidden="0" customWidth="1"/>
    <x:col min="20" max="20" width="13" hidden="0" customWidth="1"/>
    <x:col min="21" max="21" width="12" hidden="0" customWidth="1"/>
    <x:col min="22" max="22" width="38" hidden="0" customWidth="1"/>
    <x:col min="23" max="23" width="56" hidden="0" customWidth="1"/>
    <x:col min="24" max="24" width="52" hidden="0" customWidth="1"/>
    <x:col min="25" max="25" width="42" hidden="0" customWidth="1"/>
    <x:col min="26" max="26" width="40" hidden="0" customWidth="1"/>
    <x:col min="27" max="27" width="11" hidden="0" customWidth="1"/>
    <x:col min="28" max="28" width="11" hidden="0" customWidth="1"/>
    <x:col min="29" max="29" width="11" hidden="0" customWidth="1"/>
    <x:col min="30" max="30" width="46" hidden="0" customWidth="1"/>
    <x:col min="31" max="31" width="46" hidden="0" customWidth="1"/>
    <x:col min="32" max="32" width="46" hidden="0" customWidth="1"/>
    <x:col min="33" max="33" width="13" hidden="0" customWidth="1"/>
    <x:col min="34" max="34" width="13" hidden="0" customWidth="1"/>
  </x:cols>
  <x:sheetData>
    <x:row r="1">
      <x:c r="A1" s="3" t="str">
        <x:v>PLAYER DATABASE — 2026 DRAFT VISION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</x:row>
    <x:row r="3" ht="15" hidden="0" customHeight="1">
      <x:c r="A3" s="37" t="str">
        <x:v>Yellow cells are editable. Vision Score changes with phase weights on the Assumptions tab. Positive rank gaps mean the player is cheaper than the expert model.</x:v>
      </x:c>
      <x:c r="B3" s="37"/>
      <x:c r="C3" s="37"/>
      <x:c r="D3" s="37"/>
      <x:c r="E3" s="37"/>
      <x:c r="F3" s="37"/>
      <x:c r="G3" s="37"/>
      <x:c r="H3" s="37"/>
      <x:c r="I3" s="37"/>
      <x:c r="J3" s="37"/>
      <x:c r="K3" s="37"/>
      <x:c r="L3" s="37"/>
      <x:c r="M3" s="37"/>
      <x:c r="N3" s="37"/>
      <x:c r="O3" s="37"/>
      <x:c r="P3" s="37"/>
      <x:c r="Q3" s="37"/>
      <x:c r="R3" s="37"/>
      <x:c r="S3" s="37"/>
      <x:c r="T3" s="37"/>
      <x:c r="U3" s="37"/>
      <x:c r="V3" s="37"/>
      <x:c r="W3" s="37"/>
      <x:c r="X3" s="37"/>
      <x:c r="Y3" s="37"/>
      <x:c r="Z3" s="37"/>
      <x:c r="AA3" s="37"/>
      <x:c r="AB3" s="37"/>
      <x:c r="AC3" s="37"/>
      <x:c r="AD3" s="37"/>
      <x:c r="AE3" s="37"/>
      <x:c r="AF3" s="37"/>
      <x:c r="AG3" s="37"/>
      <x:c r="AH3" s="37"/>
    </x:row>
    <x:row r="4"/>
    <x:row r="5" ht="15" hidden="0" customHeight="1">
      <x:c r="A5" s="43" t="str">
        <x:v>Player</x:v>
      </x:c>
      <x:c r="B5" s="44" t="str">
        <x:v>Pos</x:v>
      </x:c>
      <x:c r="C5" s="44" t="str">
        <x:v>Team</x:v>
      </x:c>
      <x:c r="D5" s="44" t="str">
        <x:v>Bye</x:v>
      </x:c>
      <x:c r="E5" s="44" t="str">
        <x:v>ESPN Rank</x:v>
      </x:c>
      <x:c r="F5" s="44" t="str">
        <x:v>Model Rank</x:v>
      </x:c>
      <x:c r="G5" s="44" t="str">
        <x:v>8-Team ADP</x:v>
      </x:c>
      <x:c r="H5" s="44" t="str">
        <x:v>ESPN Gap</x:v>
      </x:c>
      <x:c r="I5" s="44" t="str">
        <x:v>Market Gap</x:v>
      </x:c>
      <x:c r="J5" s="44" t="str">
        <x:v>Rec. Round</x:v>
      </x:c>
      <x:c r="K5" s="44" t="str">
        <x:v>Our Pick</x:v>
      </x:c>
      <x:c r="L5" s="44" t="str">
        <x:v>Phase</x:v>
      </x:c>
      <x:c r="M5" s="44" t="str">
        <x:v>Archetype</x:v>
      </x:c>
      <x:c r="N5" s="44" t="str">
        <x:v>Reliability</x:v>
      </x:c>
      <x:c r="O5" s="44" t="str">
        <x:v>Ceiling</x:v>
      </x:c>
      <x:c r="P5" s="44" t="str">
        <x:v>Opportunity</x:v>
      </x:c>
      <x:c r="Q5" s="44" t="str">
        <x:v>Role Clarity</x:v>
      </x:c>
      <x:c r="R5" s="44" t="str">
        <x:v>Risk</x:v>
      </x:c>
      <x:c r="S5" s="44" t="str">
        <x:v>Vision Score</x:v>
      </x:c>
      <x:c r="T5" s="44" t="str">
        <x:v>Model Signal</x:v>
      </x:c>
      <x:c r="U5" s="44" t="str">
        <x:v>My Tag</x:v>
      </x:c>
      <x:c r="V5" s="44" t="str">
        <x:v>Injury / News</x:v>
      </x:c>
      <x:c r="W5" s="44" t="str">
        <x:v>Why He Fits</x:v>
      </x:c>
      <x:c r="X5" s="44" t="str">
        <x:v>Failure Case</x:v>
      </x:c>
      <x:c r="Y5" s="44" t="str">
        <x:v>Alternatives</x:v>
      </x:c>
      <x:c r="Z5" s="44" t="str">
        <x:v>Pairing / Construction</x:v>
      </x:c>
      <x:c r="AA5" s="44" t="str">
        <x:v>Earliest Pick</x:v>
      </x:c>
      <x:c r="AB5" s="44" t="str">
        <x:v>Target Pick</x:v>
      </x:c>
      <x:c r="AC5" s="44" t="str">
        <x:v>Latest Pick</x:v>
      </x:c>
      <x:c r="AD5" s="44" t="str">
        <x:v>ESPN Source</x:v>
      </x:c>
      <x:c r="AE5" s="44" t="str">
        <x:v>ADP Source</x:v>
      </x:c>
      <x:c r="AF5" s="44" t="str">
        <x:v>Analysis Source</x:v>
      </x:c>
      <x:c r="AG5" s="44" t="str">
        <x:v>Draft Status</x:v>
      </x:c>
      <x:c r="AH5" s="45" t="str">
        <x:v>Updated</x:v>
      </x:c>
    </x:row>
    <x:row r="6" ht="44" hidden="0" customHeight="1">
      <x:c r="A6" s="46" t="str">
        <x:v>Jahmyr Gibbs</x:v>
      </x:c>
      <x:c r="B6" s="47" t="str">
        <x:v>RB</x:v>
      </x:c>
      <x:c r="C6" s="47" t="str">
        <x:v>DET</x:v>
      </x:c>
      <x:c r="D6" s="48" t="n">
        <x:v>6</x:v>
      </x:c>
      <x:c r="E6" s="48" t="n">
        <x:v>1</x:v>
      </x:c>
      <x:c r="F6" s="48" t="n">
        <x:v>1</x:v>
      </x:c>
      <x:c r="G6" s="48" t="n">
        <x:v>1</x:v>
      </x:c>
      <x:c r="H6" s="48" t="n">
        <x:v>0</x:v>
      </x:c>
      <x:c r="I6" s="48" t="n">
        <x:v>0</x:v>
      </x:c>
      <x:c r="J6" s="48" t="n">
        <x:v>1</x:v>
      </x:c>
      <x:c r="K6" s="48" t="n">
        <x:v>8</x:v>
      </x:c>
      <x:c r="L6" s="48" t="str">
        <x:v>Anchor</x:v>
      </x:c>
      <x:c r="M6" s="48" t="str">
        <x:v>Volume + contingency</x:v>
      </x:c>
      <x:c r="N6" s="48" t="n">
        <x:v>9</x:v>
      </x:c>
      <x:c r="O6" s="48" t="n">
        <x:v>10</x:v>
      </x:c>
      <x:c r="P6" s="48" t="n">
        <x:v>9</x:v>
      </x:c>
      <x:c r="Q6" s="48" t="n">
        <x:v>9</x:v>
      </x:c>
      <x:c r="R6" s="48" t="n">
        <x:v>3</x:v>
      </x:c>
      <x:c r="S6" s="49" t="n">
        <x:f>ROUND(N6*VLOOKUP(L6,'Assumptions'!$A$16:$C$19,2,FALSE)+O6*VLOOKUP(L6,'Assumptions'!$A$16:$C$19,3,FALSE)+(P6-5)*0.10+(Q6-5)*0.08+(I6/10)*0.25-(R6-5)*0.10,1)</x:f>
        <x:v>10.2</x:v>
      </x:c>
      <x:c r="T6" s="47" t="str">
        <x:f>IF(U6&lt;&gt;"Use Model",U6,IF(S6&gt;=8.5,"Priority",IF(S6&gt;=7.6,"Target",IF(S6&gt;=6.8,"Watch","Neutral"))))</x:f>
        <x:v>Priority</x:v>
      </x:c>
      <x:c r="U6" s="50" t="str">
        <x:v>Use Model</x:v>
      </x:c>
      <x:c r="V6" s="51" t="str"/>
      <x:c r="W6" s="51" t="str">
        <x:v>Fits the two-FLEX build by adding either bankable touches or contingent workload at the correct price.</x:v>
      </x:c>
      <x:c r="X6" s="51" t="str">
        <x:v>The player can be useful without separating enough from readily available waiver-wire alternatives.</x:v>
      </x:c>
      <x:c r="Y6" s="51" t="str">
        <x:v>Use the Turn Board to select the highest remaining player in the same position/value tier.</x:v>
      </x:c>
      <x:c r="Z6" s="51" t="str">
        <x:v>Pair with a WR at the same turn unless he is a clear faller.</x:v>
      </x:c>
      <x:c r="AA6" s="51" t="n">
        <x:v>8</x:v>
      </x:c>
      <x:c r="AB6" s="51" t="n">
        <x:v>8</x:v>
      </x:c>
      <x:c r="AC6" s="51" t="n">
        <x:v>9</x:v>
      </x:c>
      <x:c r="AD6" s="51" t="str">
        <x:v>https://g.espncdn.com/s/ffldraftkit/26/NFL26_CS_PPR300.pdf?adddata=2026CS_PPR300</x:v>
      </x:c>
      <x:c r="AE6" s="51" t="str">
        <x:v>https://fantasyfootballcalculator.com/adp/ppr/8-team/all</x:v>
      </x:c>
      <x:c r="AF6" s="51" t="str">
        <x:v>https://www.rotowire.com/football/article/2026-fantasy-football-rankings-ppr-preseason-week-2-update-129449</x:v>
      </x:c>
      <x:c r="AG6" s="47" t="str">
        <x:f>IF(COUNTIFS('Live Draft'!$D$6:$D$133,8,'Live Draft'!$E$6:$E$133,A6)&gt;0,"My Team",IF(COUNTIF('Live Draft'!$E$6:$E$133,A6)&gt;0,"Other Team","Available"))</x:f>
        <x:v>Available</x:v>
      </x:c>
      <x:c r="AH6" s="52" t="n">
        <x:v>46261</x:v>
      </x:c>
    </x:row>
    <x:row r="7" ht="44" hidden="0" customHeight="1">
      <x:c r="A7" s="46" t="str">
        <x:v>Bijan Robinson</x:v>
      </x:c>
      <x:c r="B7" s="47" t="str">
        <x:v>RB</x:v>
      </x:c>
      <x:c r="C7" s="47" t="str">
        <x:v>ATL</x:v>
      </x:c>
      <x:c r="D7" s="48" t="n">
        <x:v>11</x:v>
      </x:c>
      <x:c r="E7" s="48" t="n">
        <x:v>2</x:v>
      </x:c>
      <x:c r="F7" s="48" t="n">
        <x:v>2</x:v>
      </x:c>
      <x:c r="G7" s="48" t="n">
        <x:v>2</x:v>
      </x:c>
      <x:c r="H7" s="48" t="n">
        <x:v>0</x:v>
      </x:c>
      <x:c r="I7" s="48" t="n">
        <x:v>0</x:v>
      </x:c>
      <x:c r="J7" s="48" t="n">
        <x:v>1</x:v>
      </x:c>
      <x:c r="K7" s="48" t="n">
        <x:v>8</x:v>
      </x:c>
      <x:c r="L7" s="48" t="str">
        <x:v>Anchor</x:v>
      </x:c>
      <x:c r="M7" s="48" t="str">
        <x:v>Volume + contingency</x:v>
      </x:c>
      <x:c r="N7" s="48" t="n">
        <x:v>9</x:v>
      </x:c>
      <x:c r="O7" s="48" t="n">
        <x:v>10</x:v>
      </x:c>
      <x:c r="P7" s="48" t="n">
        <x:v>9</x:v>
      </x:c>
      <x:c r="Q7" s="48" t="n">
        <x:v>9</x:v>
      </x:c>
      <x:c r="R7" s="48" t="n">
        <x:v>3</x:v>
      </x:c>
      <x:c r="S7" s="49" t="n">
        <x:f>ROUND(N7*VLOOKUP(L7,'Assumptions'!$A$16:$C$19,2,FALSE)+O7*VLOOKUP(L7,'Assumptions'!$A$16:$C$19,3,FALSE)+(P7-5)*0.10+(Q7-5)*0.08+(I7/10)*0.25-(R7-5)*0.10,1)</x:f>
        <x:v>10.2</x:v>
      </x:c>
      <x:c r="T7" s="47" t="str">
        <x:f>IF(U7&lt;&gt;"Use Model",U7,IF(S7&gt;=8.5,"Priority",IF(S7&gt;=7.6,"Target",IF(S7&gt;=6.8,"Watch","Neutral"))))</x:f>
        <x:v>Priority</x:v>
      </x:c>
      <x:c r="U7" s="50" t="str">
        <x:v>Use Model</x:v>
      </x:c>
      <x:c r="V7" s="51" t="str"/>
      <x:c r="W7" s="51" t="str">
        <x:v>Fits the two-FLEX build by adding either bankable touches or contingent workload at the correct price.</x:v>
      </x:c>
      <x:c r="X7" s="51" t="str">
        <x:v>The player can be useful without separating enough from readily available waiver-wire alternatives.</x:v>
      </x:c>
      <x:c r="Y7" s="51" t="str">
        <x:v>Use the Turn Board to select the highest remaining player in the same position/value tier.</x:v>
      </x:c>
      <x:c r="Z7" s="51" t="str">
        <x:v>Pair with a WR at the same turn unless he is a clear faller.</x:v>
      </x:c>
      <x:c r="AA7" s="51" t="n">
        <x:v>8</x:v>
      </x:c>
      <x:c r="AB7" s="51" t="n">
        <x:v>8</x:v>
      </x:c>
      <x:c r="AC7" s="51" t="n">
        <x:v>9</x:v>
      </x:c>
      <x:c r="AD7" s="51" t="str">
        <x:v>https://g.espncdn.com/s/ffldraftkit/26/NFL26_CS_PPR300.pdf?adddata=2026CS_PPR300</x:v>
      </x:c>
      <x:c r="AE7" s="51" t="str">
        <x:v>https://fantasyfootballcalculator.com/adp/ppr/8-team/all</x:v>
      </x:c>
      <x:c r="AF7" s="51" t="str">
        <x:v>https://www.rotowire.com/football/article/2026-fantasy-football-rankings-ppr-preseason-week-2-update-129449</x:v>
      </x:c>
      <x:c r="AG7" s="47" t="str">
        <x:f>IF(COUNTIFS('Live Draft'!$D$6:$D$133,8,'Live Draft'!$E$6:$E$133,A7)&gt;0,"My Team",IF(COUNTIF('Live Draft'!$E$6:$E$133,A7)&gt;0,"Other Team","Available"))</x:f>
        <x:v>Available</x:v>
      </x:c>
      <x:c r="AH7" s="52" t="n">
        <x:v>46261</x:v>
      </x:c>
    </x:row>
    <x:row r="8" ht="44" hidden="0" customHeight="1">
      <x:c r="A8" s="46" t="str">
        <x:v>Ja'Marr Chase</x:v>
      </x:c>
      <x:c r="B8" s="47" t="str">
        <x:v>WR</x:v>
      </x:c>
      <x:c r="C8" s="47" t="str">
        <x:v>CIN</x:v>
      </x:c>
      <x:c r="D8" s="48" t="n">
        <x:v>6</x:v>
      </x:c>
      <x:c r="E8" s="48" t="n">
        <x:v>3</x:v>
      </x:c>
      <x:c r="F8" s="48" t="n">
        <x:v>3</x:v>
      </x:c>
      <x:c r="G8" s="48" t="n">
        <x:v>4</x:v>
      </x:c>
      <x:c r="H8" s="48" t="n">
        <x:v>0</x:v>
      </x:c>
      <x:c r="I8" s="48" t="n">
        <x:v>1</x:v>
      </x:c>
      <x:c r="J8" s="48" t="n">
        <x:v>1</x:v>
      </x:c>
      <x:c r="K8" s="48" t="n">
        <x:v>8</x:v>
      </x:c>
      <x:c r="L8" s="48" t="str">
        <x:v>Anchor</x:v>
      </x:c>
      <x:c r="M8" s="48" t="str">
        <x:v>Target + spike weeks</x:v>
      </x:c>
      <x:c r="N8" s="48" t="n">
        <x:v>9</x:v>
      </x:c>
      <x:c r="O8" s="48" t="n">
        <x:v>10</x:v>
      </x:c>
      <x:c r="P8" s="48" t="n">
        <x:v>9</x:v>
      </x:c>
      <x:c r="Q8" s="48" t="n">
        <x:v>9</x:v>
      </x:c>
      <x:c r="R8" s="48" t="n">
        <x:v>4</x:v>
      </x:c>
      <x:c r="S8" s="49" t="n">
        <x:f>ROUND(N8*VLOOKUP(L8,'Assumptions'!$A$16:$C$19,2,FALSE)+O8*VLOOKUP(L8,'Assumptions'!$A$16:$C$19,3,FALSE)+(P8-5)*0.10+(Q8-5)*0.08+(I8/10)*0.25-(R8-5)*0.10,1)</x:f>
        <x:v>10.1</x:v>
      </x:c>
      <x:c r="T8" s="47" t="str">
        <x:f>IF(U8&lt;&gt;"Use Model",U8,IF(S8&gt;=8.5,"Priority",IF(S8&gt;=7.6,"Target",IF(S8&gt;=6.8,"Watch","Neutral"))))</x:f>
        <x:v>Priority</x:v>
      </x:c>
      <x:c r="U8" s="50" t="str">
        <x:v>Priority</x:v>
      </x:c>
      <x:c r="V8" s="51" t="str">
        <x:v>Minor left-knee hyperextension; currently described as precautionary.</x:v>
      </x:c>
      <x:c r="W8" s="51" t="str">
        <x:v>A true overall WR1 outcome. Any fall to 1.08 is an automatic selection.</x:v>
      </x:c>
      <x:c r="X8" s="51" t="str">
        <x:v>A setback to the knee or missed time would hurt the early return, but current evidence does not justify a major downgrade.</x:v>
      </x:c>
      <x:c r="Y8" s="51" t="str">
        <x:v>Puka Nacua; Jaxon Smith-Njigba; Amon-Ra St. Brown</x:v>
      </x:c>
      <x:c r="Z8" s="51" t="str">
        <x:v>Pair with RB scarcity or premium QB/TE leverage.</x:v>
      </x:c>
      <x:c r="AA8" s="51" t="n">
        <x:v>8</x:v>
      </x:c>
      <x:c r="AB8" s="51" t="n">
        <x:v>8</x:v>
      </x:c>
      <x:c r="AC8" s="51" t="n">
        <x:v>9</x:v>
      </x:c>
      <x:c r="AD8" s="51" t="str">
        <x:v>https://g.espncdn.com/s/ffldraftkit/26/NFL26_CS_PPR300.pdf?adddata=2026CS_PPR300</x:v>
      </x:c>
      <x:c r="AE8" s="51" t="str">
        <x:v>https://fantasyfootballcalculator.com/adp/ppr/8-team/all</x:v>
      </x:c>
      <x:c r="AF8" s="51" t="str">
        <x:v>https://www.reuters.com/sports/bengals-wr-jamarr-chase-sits-out-practice-after-knee-issue--flm-2026-08-26/</x:v>
      </x:c>
      <x:c r="AG8" s="47" t="str">
        <x:f>IF(COUNTIFS('Live Draft'!$D$6:$D$133,8,'Live Draft'!$E$6:$E$133,A8)&gt;0,"My Team",IF(COUNTIF('Live Draft'!$E$6:$E$133,A8)&gt;0,"Other Team","Available"))</x:f>
        <x:v>Available</x:v>
      </x:c>
      <x:c r="AH8" s="52" t="n">
        <x:v>46261</x:v>
      </x:c>
    </x:row>
    <x:row r="9" ht="44" hidden="0" customHeight="1">
      <x:c r="A9" s="46" t="str">
        <x:v>Puka Nacua</x:v>
      </x:c>
      <x:c r="B9" s="47" t="str">
        <x:v>WR</x:v>
      </x:c>
      <x:c r="C9" s="47" t="str">
        <x:v>LAR</x:v>
      </x:c>
      <x:c r="D9" s="48" t="n">
        <x:v>11</x:v>
      </x:c>
      <x:c r="E9" s="48" t="n">
        <x:v>4</x:v>
      </x:c>
      <x:c r="F9" s="48" t="n">
        <x:v>4</x:v>
      </x:c>
      <x:c r="G9" s="48" t="n">
        <x:v>3</x:v>
      </x:c>
      <x:c r="H9" s="48" t="n">
        <x:v>0</x:v>
      </x:c>
      <x:c r="I9" s="48" t="n">
        <x:v>-1</x:v>
      </x:c>
      <x:c r="J9" s="48" t="n">
        <x:v>1</x:v>
      </x:c>
      <x:c r="K9" s="48" t="n">
        <x:v>8</x:v>
      </x:c>
      <x:c r="L9" s="48" t="str">
        <x:v>Anchor</x:v>
      </x:c>
      <x:c r="M9" s="48" t="str">
        <x:v>Target + spike weeks</x:v>
      </x:c>
      <x:c r="N9" s="48" t="n">
        <x:v>9</x:v>
      </x:c>
      <x:c r="O9" s="48" t="n">
        <x:v>10</x:v>
      </x:c>
      <x:c r="P9" s="48" t="n">
        <x:v>9</x:v>
      </x:c>
      <x:c r="Q9" s="48" t="n">
        <x:v>9</x:v>
      </x:c>
      <x:c r="R9" s="48" t="n">
        <x:v>4</x:v>
      </x:c>
      <x:c r="S9" s="49" t="n">
        <x:f>ROUND(N9*VLOOKUP(L9,'Assumptions'!$A$16:$C$19,2,FALSE)+O9*VLOOKUP(L9,'Assumptions'!$A$16:$C$19,3,FALSE)+(P9-5)*0.10+(Q9-5)*0.08+(I9/10)*0.25-(R9-5)*0.10,1)</x:f>
        <x:v>10.1</x:v>
      </x:c>
      <x:c r="T9" s="47" t="str">
        <x:f>IF(U9&lt;&gt;"Use Model",U9,IF(S9&gt;=8.5,"Priority",IF(S9&gt;=7.6,"Target",IF(S9&gt;=6.8,"Watch","Neutral"))))</x:f>
        <x:v>Priority</x:v>
      </x:c>
      <x:c r="U9" s="50" t="str">
        <x:v>Priority</x:v>
      </x:c>
      <x:c r="V9" s="51" t="str">
        <x:v>Potential league discipline remains unresolved.</x:v>
      </x:c>
      <x:c r="W9" s="51" t="str">
        <x:v>Massive target concentration and weekly ceiling; a short suspension does not erase the full-season edge.</x:v>
      </x:c>
      <x:c r="X9" s="51" t="str">
        <x:v>An unexpected multi-game suspension would reduce the value of a top-four pick.</x:v>
      </x:c>
      <x:c r="Y9" s="51" t="str">
        <x:v>Ja'Marr Chase; Jaxon Smith-Njigba; Amon-Ra St. Brown</x:v>
      </x:c>
      <x:c r="Z9" s="51" t="str">
        <x:v>Pair with RB scarcity or premium QB/TE leverage.</x:v>
      </x:c>
      <x:c r="AA9" s="51" t="n">
        <x:v>8</x:v>
      </x:c>
      <x:c r="AB9" s="51" t="n">
        <x:v>8</x:v>
      </x:c>
      <x:c r="AC9" s="51" t="n">
        <x:v>9</x:v>
      </x:c>
      <x:c r="AD9" s="51" t="str">
        <x:v>https://g.espncdn.com/s/ffldraftkit/26/NFL26_CS_PPR300.pdf?adddata=2026CS_PPR300</x:v>
      </x:c>
      <x:c r="AE9" s="51" t="str">
        <x:v>https://fantasyfootballcalculator.com/adp/ppr/8-team/all</x:v>
      </x:c>
      <x:c r="AF9" s="51" t="str">
        <x:v>https://www.rotowire.com/football/article/2026-fantasy-football-rankings-ppr-preseason-week-2-update-129449</x:v>
      </x:c>
      <x:c r="AG9" s="47" t="str">
        <x:f>IF(COUNTIFS('Live Draft'!$D$6:$D$133,8,'Live Draft'!$E$6:$E$133,A9)&gt;0,"My Team",IF(COUNTIF('Live Draft'!$E$6:$E$133,A9)&gt;0,"Other Team","Available"))</x:f>
        <x:v>Available</x:v>
      </x:c>
      <x:c r="AH9" s="52" t="n">
        <x:v>46261</x:v>
      </x:c>
    </x:row>
    <x:row r="10" ht="44" hidden="0" customHeight="1">
      <x:c r="A10" s="46" t="str">
        <x:v>Jaxon Smith-Njigba</x:v>
      </x:c>
      <x:c r="B10" s="47" t="str">
        <x:v>WR</x:v>
      </x:c>
      <x:c r="C10" s="47" t="str">
        <x:v>SEA</x:v>
      </x:c>
      <x:c r="D10" s="48" t="n">
        <x:v>11</x:v>
      </x:c>
      <x:c r="E10" s="48" t="n">
        <x:v>5</x:v>
      </x:c>
      <x:c r="F10" s="48" t="n">
        <x:v>5</x:v>
      </x:c>
      <x:c r="G10" s="48" t="n">
        <x:v>5</x:v>
      </x:c>
      <x:c r="H10" s="48" t="n">
        <x:v>0</x:v>
      </x:c>
      <x:c r="I10" s="48" t="n">
        <x:v>0</x:v>
      </x:c>
      <x:c r="J10" s="48" t="n">
        <x:v>1</x:v>
      </x:c>
      <x:c r="K10" s="48" t="n">
        <x:v>8</x:v>
      </x:c>
      <x:c r="L10" s="48" t="str">
        <x:v>Anchor</x:v>
      </x:c>
      <x:c r="M10" s="48" t="str">
        <x:v>Target + spike weeks</x:v>
      </x:c>
      <x:c r="N10" s="48" t="n">
        <x:v>9</x:v>
      </x:c>
      <x:c r="O10" s="48" t="n">
        <x:v>10</x:v>
      </x:c>
      <x:c r="P10" s="48" t="n">
        <x:v>9</x:v>
      </x:c>
      <x:c r="Q10" s="48" t="n">
        <x:v>9</x:v>
      </x:c>
      <x:c r="R10" s="48" t="n">
        <x:v>3</x:v>
      </x:c>
      <x:c r="S10" s="49" t="n">
        <x:f>ROUND(N10*VLOOKUP(L10,'Assumptions'!$A$16:$C$19,2,FALSE)+O10*VLOOKUP(L10,'Assumptions'!$A$16:$C$19,3,FALSE)+(P10-5)*0.10+(Q10-5)*0.08+(I10/10)*0.25-(R10-5)*0.10,1)</x:f>
        <x:v>10.2</x:v>
      </x:c>
      <x:c r="T10" s="47" t="str">
        <x:f>IF(U10&lt;&gt;"Use Model",U10,IF(S10&gt;=8.5,"Priority",IF(S10&gt;=7.6,"Target",IF(S10&gt;=6.8,"Watch","Neutral"))))</x:f>
        <x:v>Priority</x:v>
      </x:c>
      <x:c r="U10" s="50" t="str">
        <x:v>Use Model</x:v>
      </x:c>
      <x:c r="V10" s="51" t="str"/>
      <x:c r="W10" s="51" t="str">
        <x:v>Adds startable target volume and spike-week potential without requiring a rigid positional build.</x:v>
      </x:c>
      <x:c r="X10" s="51" t="str">
        <x:v>The player can be useful without separating enough from readily available waiver-wire alternatives.</x:v>
      </x:c>
      <x:c r="Y10" s="51" t="str">
        <x:v>Use the Turn Board to select the highest remaining player in the same position/value tier.</x:v>
      </x:c>
      <x:c r="Z10" s="51" t="str">
        <x:v>Pair with RB scarcity or premium QB/TE leverage.</x:v>
      </x:c>
      <x:c r="AA10" s="51" t="n">
        <x:v>8</x:v>
      </x:c>
      <x:c r="AB10" s="51" t="n">
        <x:v>8</x:v>
      </x:c>
      <x:c r="AC10" s="51" t="n">
        <x:v>9</x:v>
      </x:c>
      <x:c r="AD10" s="51" t="str">
        <x:v>https://g.espncdn.com/s/ffldraftkit/26/NFL26_CS_PPR300.pdf?adddata=2026CS_PPR300</x:v>
      </x:c>
      <x:c r="AE10" s="51" t="str">
        <x:v>https://fantasyfootballcalculator.com/adp/ppr/8-team/all</x:v>
      </x:c>
      <x:c r="AF10" s="51" t="str">
        <x:v>https://www.rotowire.com/football/article/2026-fantasy-football-rankings-ppr-preseason-week-2-update-129449</x:v>
      </x:c>
      <x:c r="AG10" s="47" t="str">
        <x:f>IF(COUNTIFS('Live Draft'!$D$6:$D$133,8,'Live Draft'!$E$6:$E$133,A10)&gt;0,"My Team",IF(COUNTIF('Live Draft'!$E$6:$E$133,A10)&gt;0,"Other Team","Available"))</x:f>
        <x:v>Available</x:v>
      </x:c>
      <x:c r="AH10" s="52" t="n">
        <x:v>46261</x:v>
      </x:c>
    </x:row>
    <x:row r="11" ht="44" hidden="0" customHeight="1">
      <x:c r="A11" s="46" t="str">
        <x:v>Christian McCaffrey</x:v>
      </x:c>
      <x:c r="B11" s="47" t="str">
        <x:v>RB</x:v>
      </x:c>
      <x:c r="C11" s="47" t="str">
        <x:v>SF</x:v>
      </x:c>
      <x:c r="D11" s="48" t="n">
        <x:v>8</x:v>
      </x:c>
      <x:c r="E11" s="48" t="n">
        <x:v>6</x:v>
      </x:c>
      <x:c r="F11" s="48" t="n">
        <x:v>6</x:v>
      </x:c>
      <x:c r="G11" s="48" t="n">
        <x:v>7</x:v>
      </x:c>
      <x:c r="H11" s="48" t="n">
        <x:v>0</x:v>
      </x:c>
      <x:c r="I11" s="48" t="n">
        <x:v>1</x:v>
      </x:c>
      <x:c r="J11" s="48" t="n">
        <x:v>1</x:v>
      </x:c>
      <x:c r="K11" s="48" t="n">
        <x:v>8</x:v>
      </x:c>
      <x:c r="L11" s="48" t="str">
        <x:v>Anchor</x:v>
      </x:c>
      <x:c r="M11" s="48" t="str">
        <x:v>Volume + contingency</x:v>
      </x:c>
      <x:c r="N11" s="48" t="n">
        <x:v>9</x:v>
      </x:c>
      <x:c r="O11" s="48" t="n">
        <x:v>10</x:v>
      </x:c>
      <x:c r="P11" s="48" t="n">
        <x:v>9</x:v>
      </x:c>
      <x:c r="Q11" s="48" t="n">
        <x:v>9</x:v>
      </x:c>
      <x:c r="R11" s="48" t="n">
        <x:v>6</x:v>
      </x:c>
      <x:c r="S11" s="49" t="n">
        <x:f>ROUND(N11*VLOOKUP(L11,'Assumptions'!$A$16:$C$19,2,FALSE)+O11*VLOOKUP(L11,'Assumptions'!$A$16:$C$19,3,FALSE)+(P11-5)*0.10+(Q11-5)*0.08+(I11/10)*0.25-(R11-5)*0.10,1)</x:f>
        <x:v>9.9</x:v>
      </x:c>
      <x:c r="T11" s="47" t="str">
        <x:f>IF(U11&lt;&gt;"Use Model",U11,IF(S11&gt;=8.5,"Priority",IF(S11&gt;=7.6,"Target",IF(S11&gt;=6.8,"Watch","Neutral"))))</x:f>
        <x:v>Target</x:v>
      </x:c>
      <x:c r="U11" s="50" t="str">
        <x:v>Target</x:v>
      </x:c>
      <x:c r="V11" s="51" t="str">
        <x:v>Returned to practice after a planned workload ramp; monitor final week.</x:v>
      </x:c>
      <x:c r="W11" s="51" t="str">
        <x:v>If he reaches 1.08, the discounted elite receiving and touchdown ceiling is worth the age/health risk.</x:v>
      </x:c>
      <x:c r="X11" s="51" t="str">
        <x:v>Age and cumulative workload create a wider injury distribution than the other first-round anchors.</x:v>
      </x:c>
      <x:c r="Y11" s="51" t="str">
        <x:v>Jonathan Taylor; Amon-Ra St. Brown; CeeDee Lamb</x:v>
      </x:c>
      <x:c r="Z11" s="51" t="str">
        <x:v>Pair with a WR at the same turn unless he is a clear faller.</x:v>
      </x:c>
      <x:c r="AA11" s="51" t="n">
        <x:v>8</x:v>
      </x:c>
      <x:c r="AB11" s="51" t="n">
        <x:v>8</x:v>
      </x:c>
      <x:c r="AC11" s="51" t="n">
        <x:v>9</x:v>
      </x:c>
      <x:c r="AD11" s="51" t="str">
        <x:v>https://g.espncdn.com/s/ffldraftkit/26/NFL26_CS_PPR300.pdf?adddata=2026CS_PPR300</x:v>
      </x:c>
      <x:c r="AE11" s="51" t="str">
        <x:v>https://fantasyfootballcalculator.com/adp/ppr/8-team/all</x:v>
      </x:c>
      <x:c r="AF11" s="51" t="str">
        <x:v>https://www.nfl.com/news/christian-mccaffrey-absence-from-practices-was-part-of-the-plan-from-the-jump</x:v>
      </x:c>
      <x:c r="AG11" s="47" t="str">
        <x:f>IF(COUNTIFS('Live Draft'!$D$6:$D$133,8,'Live Draft'!$E$6:$E$133,A11)&gt;0,"My Team",IF(COUNTIF('Live Draft'!$E$6:$E$133,A11)&gt;0,"Other Team","Available"))</x:f>
        <x:v>Available</x:v>
      </x:c>
      <x:c r="AH11" s="52" t="n">
        <x:v>46261</x:v>
      </x:c>
    </x:row>
    <x:row r="12" ht="44" hidden="0" customHeight="1">
      <x:c r="A12" s="46" t="str">
        <x:v>Jonathan Taylor</x:v>
      </x:c>
      <x:c r="B12" s="47" t="str">
        <x:v>RB</x:v>
      </x:c>
      <x:c r="C12" s="47" t="str">
        <x:v>IND</x:v>
      </x:c>
      <x:c r="D12" s="48" t="n">
        <x:v>13</x:v>
      </x:c>
      <x:c r="E12" s="48" t="n">
        <x:v>7</x:v>
      </x:c>
      <x:c r="F12" s="48" t="n">
        <x:v>10</x:v>
      </x:c>
      <x:c r="G12" s="48" t="n">
        <x:v>8</x:v>
      </x:c>
      <x:c r="H12" s="48" t="n">
        <x:v>-3</x:v>
      </x:c>
      <x:c r="I12" s="48" t="n">
        <x:v>-2</x:v>
      </x:c>
      <x:c r="J12" s="48" t="n">
        <x:v>1</x:v>
      </x:c>
      <x:c r="K12" s="48" t="n">
        <x:v>8</x:v>
      </x:c>
      <x:c r="L12" s="48" t="str">
        <x:v>Anchor</x:v>
      </x:c>
      <x:c r="M12" s="48" t="str">
        <x:v>Volume + contingency</x:v>
      </x:c>
      <x:c r="N12" s="48" t="n">
        <x:v>9</x:v>
      </x:c>
      <x:c r="O12" s="48" t="n">
        <x:v>9</x:v>
      </x:c>
      <x:c r="P12" s="48" t="n">
        <x:v>9</x:v>
      </x:c>
      <x:c r="Q12" s="48" t="n">
        <x:v>9</x:v>
      </x:c>
      <x:c r="R12" s="48" t="n">
        <x:v>3</x:v>
      </x:c>
      <x:c r="S12" s="49" t="n">
        <x:f>ROUND(N12*VLOOKUP(L12,'Assumptions'!$A$16:$C$19,2,FALSE)+O12*VLOOKUP(L12,'Assumptions'!$A$16:$C$19,3,FALSE)+(P12-5)*0.10+(Q12-5)*0.08+(I12/10)*0.25-(R12-5)*0.10,1)</x:f>
        <x:v>9.9</x:v>
      </x:c>
      <x:c r="T12" s="47" t="str">
        <x:f>IF(U12&lt;&gt;"Use Model",U12,IF(S12&gt;=8.5,"Priority",IF(S12&gt;=7.6,"Target",IF(S12&gt;=6.8,"Watch","Neutral"))))</x:f>
        <x:v>Priority</x:v>
      </x:c>
      <x:c r="U12" s="50" t="str">
        <x:v>Priority</x:v>
      </x:c>
      <x:c r="V12" s="51" t="str"/>
      <x:c r="W12" s="51" t="str">
        <x:v>The cleanest realistic RB anchor at 1.08: bankable workload, touchdown path and scarce first-round RB volume.</x:v>
      </x:c>
      <x:c r="X12" s="51" t="str">
        <x:v>Less receiving insulation than Gibbs/Bijan makes game script and touchdowns more important.</x:v>
      </x:c>
      <x:c r="Y12" s="51" t="str">
        <x:v>Amon-Ra St. Brown; CeeDee Lamb; James Cook III</x:v>
      </x:c>
      <x:c r="Z12" s="51" t="str">
        <x:v>Pair with a WR at the same turn unless he is a clear faller.</x:v>
      </x:c>
      <x:c r="AA12" s="51" t="n">
        <x:v>8</x:v>
      </x:c>
      <x:c r="AB12" s="51" t="n">
        <x:v>8</x:v>
      </x:c>
      <x:c r="AC12" s="51" t="n">
        <x:v>9</x:v>
      </x:c>
      <x:c r="AD12" s="51" t="str">
        <x:v>https://g.espncdn.com/s/ffldraftkit/26/NFL26_CS_PPR300.pdf?adddata=2026CS_PPR300</x:v>
      </x:c>
      <x:c r="AE12" s="51" t="str">
        <x:v>https://fantasyfootballcalculator.com/adp/ppr/8-team/all</x:v>
      </x:c>
      <x:c r="AF12" s="51" t="str">
        <x:v>https://www.rotowire.com/football/article/2026-fantasy-football-rankings-ppr-preseason-week-2-update-129449</x:v>
      </x:c>
      <x:c r="AG12" s="47" t="str">
        <x:f>IF(COUNTIFS('Live Draft'!$D$6:$D$133,8,'Live Draft'!$E$6:$E$133,A12)&gt;0,"My Team",IF(COUNTIF('Live Draft'!$E$6:$E$133,A12)&gt;0,"Other Team","Available"))</x:f>
        <x:v>Available</x:v>
      </x:c>
      <x:c r="AH12" s="52" t="n">
        <x:v>46261</x:v>
      </x:c>
    </x:row>
    <x:row r="13" ht="44" hidden="0" customHeight="1">
      <x:c r="A13" s="46" t="str">
        <x:v>Amon-Ra St. Brown</x:v>
      </x:c>
      <x:c r="B13" s="47" t="str">
        <x:v>WR</x:v>
      </x:c>
      <x:c r="C13" s="47" t="str">
        <x:v>DET</x:v>
      </x:c>
      <x:c r="D13" s="48" t="n">
        <x:v>6</x:v>
      </x:c>
      <x:c r="E13" s="48" t="n">
        <x:v>8</x:v>
      </x:c>
      <x:c r="F13" s="48" t="n">
        <x:v>7</x:v>
      </x:c>
      <x:c r="G13" s="48" t="n">
        <x:v>6</x:v>
      </x:c>
      <x:c r="H13" s="48" t="n">
        <x:v>1</x:v>
      </x:c>
      <x:c r="I13" s="48" t="n">
        <x:v>-1</x:v>
      </x:c>
      <x:c r="J13" s="48" t="n">
        <x:v>1</x:v>
      </x:c>
      <x:c r="K13" s="48" t="n">
        <x:v>8</x:v>
      </x:c>
      <x:c r="L13" s="48" t="str">
        <x:v>Anchor</x:v>
      </x:c>
      <x:c r="M13" s="48" t="str">
        <x:v>Target + spike weeks</x:v>
      </x:c>
      <x:c r="N13" s="48" t="n">
        <x:v>10</x:v>
      </x:c>
      <x:c r="O13" s="48" t="n">
        <x:v>9</x:v>
      </x:c>
      <x:c r="P13" s="48" t="n">
        <x:v>9</x:v>
      </x:c>
      <x:c r="Q13" s="48" t="n">
        <x:v>9</x:v>
      </x:c>
      <x:c r="R13" s="48" t="n">
        <x:v>3</x:v>
      </x:c>
      <x:c r="S13" s="49" t="n">
        <x:f>ROUND(N13*VLOOKUP(L13,'Assumptions'!$A$16:$C$19,2,FALSE)+O13*VLOOKUP(L13,'Assumptions'!$A$16:$C$19,3,FALSE)+(P13-5)*0.10+(Q13-5)*0.08+(I13/10)*0.25-(R13-5)*0.10,1)</x:f>
        <x:v>10.6</x:v>
      </x:c>
      <x:c r="T13" s="47" t="str">
        <x:f>IF(U13&lt;&gt;"Use Model",U13,IF(S13&gt;=8.5,"Priority",IF(S13&gt;=7.6,"Target",IF(S13&gt;=6.8,"Watch","Neutral"))))</x:f>
        <x:v>Priority</x:v>
      </x:c>
      <x:c r="U13" s="50" t="str">
        <x:v>Priority</x:v>
      </x:c>
      <x:c r="V13" s="51" t="str"/>
      <x:c r="W13" s="51" t="str">
        <x:v>Ideal PPR anchor. His target floor lets us take more volatility at the next three turns.</x:v>
      </x:c>
      <x:c r="X13" s="51" t="str">
        <x:v>Shared elite offense can occasionally cap spike-week dominance.</x:v>
      </x:c>
      <x:c r="Y13" s="51" t="str">
        <x:v>Jonathan Taylor; CeeDee Lamb; Justin Jefferson</x:v>
      </x:c>
      <x:c r="Z13" s="51" t="str">
        <x:v>Pair with RB scarcity or premium QB/TE leverage.</x:v>
      </x:c>
      <x:c r="AA13" s="51" t="n">
        <x:v>8</x:v>
      </x:c>
      <x:c r="AB13" s="51" t="n">
        <x:v>8</x:v>
      </x:c>
      <x:c r="AC13" s="51" t="n">
        <x:v>9</x:v>
      </x:c>
      <x:c r="AD13" s="51" t="str">
        <x:v>https://g.espncdn.com/s/ffldraftkit/26/NFL26_CS_PPR300.pdf?adddata=2026CS_PPR300</x:v>
      </x:c>
      <x:c r="AE13" s="51" t="str">
        <x:v>https://fantasyfootballcalculator.com/adp/ppr/8-team/all</x:v>
      </x:c>
      <x:c r="AF13" s="51" t="str">
        <x:v>https://www.rotowire.com/football/article/2026-fantasy-football-rankings-ppr-preseason-week-2-update-129449</x:v>
      </x:c>
      <x:c r="AG13" s="47" t="str">
        <x:f>IF(COUNTIFS('Live Draft'!$D$6:$D$133,8,'Live Draft'!$E$6:$E$133,A13)&gt;0,"My Team",IF(COUNTIF('Live Draft'!$E$6:$E$133,A13)&gt;0,"Other Team","Available"))</x:f>
        <x:v>Available</x:v>
      </x:c>
      <x:c r="AH13" s="52" t="n">
        <x:v>46261</x:v>
      </x:c>
    </x:row>
    <x:row r="14" ht="44" hidden="0" customHeight="1">
      <x:c r="A14" s="46" t="str">
        <x:v>CeeDee Lamb</x:v>
      </x:c>
      <x:c r="B14" s="47" t="str">
        <x:v>WR</x:v>
      </x:c>
      <x:c r="C14" s="47" t="str">
        <x:v>DAL</x:v>
      </x:c>
      <x:c r="D14" s="48" t="n">
        <x:v>14</x:v>
      </x:c>
      <x:c r="E14" s="48" t="n">
        <x:v>9</x:v>
      </x:c>
      <x:c r="F14" s="48" t="n">
        <x:v>13</x:v>
      </x:c>
      <x:c r="G14" s="48" t="n">
        <x:v>11</x:v>
      </x:c>
      <x:c r="H14" s="48" t="n">
        <x:v>-4</x:v>
      </x:c>
      <x:c r="I14" s="48" t="n">
        <x:v>-2</x:v>
      </x:c>
      <x:c r="J14" s="48" t="n">
        <x:v>2</x:v>
      </x:c>
      <x:c r="K14" s="48" t="n">
        <x:v>9</x:v>
      </x:c>
      <x:c r="L14" s="48" t="str">
        <x:v>Anchor</x:v>
      </x:c>
      <x:c r="M14" s="48" t="str">
        <x:v>Target + spike weeks</x:v>
      </x:c>
      <x:c r="N14" s="48" t="n">
        <x:v>9</x:v>
      </x:c>
      <x:c r="O14" s="48" t="n">
        <x:v>9</x:v>
      </x:c>
      <x:c r="P14" s="48" t="n">
        <x:v>8</x:v>
      </x:c>
      <x:c r="Q14" s="48" t="n">
        <x:v>8</x:v>
      </x:c>
      <x:c r="R14" s="48" t="n">
        <x:v>3</x:v>
      </x:c>
      <x:c r="S14" s="49" t="n">
        <x:f>ROUND(N14*VLOOKUP(L14,'Assumptions'!$A$16:$C$19,2,FALSE)+O14*VLOOKUP(L14,'Assumptions'!$A$16:$C$19,3,FALSE)+(P14-5)*0.10+(Q14-5)*0.08+(I14/10)*0.25-(R14-5)*0.10,1)</x:f>
        <x:v>9.7</x:v>
      </x:c>
      <x:c r="T14" s="47" t="str">
        <x:f>IF(U14&lt;&gt;"Use Model",U14,IF(S14&gt;=8.5,"Priority",IF(S14&gt;=7.6,"Target",IF(S14&gt;=6.8,"Watch","Neutral"))))</x:f>
        <x:v>Priority</x:v>
      </x:c>
      <x:c r="U14" s="50" t="str">
        <x:v>Priority</x:v>
      </x:c>
      <x:c r="V14" s="51" t="str"/>
      <x:c r="W14" s="51" t="str">
        <x:v>Elite opening-turn WR with true overall WR1 upside; pairs cleanly with Taylor, Cook or Achane.</x:v>
      </x:c>
      <x:c r="X14" s="51" t="str">
        <x:v>Recent missed games and touchdown variance create slightly more downside than Amon-Ra.</x:v>
      </x:c>
      <x:c r="Y14" s="51" t="str">
        <x:v>Amon-Ra St. Brown; Justin Jefferson; James Cook III</x:v>
      </x:c>
      <x:c r="Z14" s="51" t="str">
        <x:v>Pair with RB scarcity or premium QB/TE leverage.</x:v>
      </x:c>
      <x:c r="AA14" s="51" t="n">
        <x:v>8</x:v>
      </x:c>
      <x:c r="AB14" s="51" t="n">
        <x:v>9</x:v>
      </x:c>
      <x:c r="AC14" s="51" t="n">
        <x:v>24</x:v>
      </x:c>
      <x:c r="AD14" s="51" t="str">
        <x:v>https://g.espncdn.com/s/ffldraftkit/26/NFL26_CS_PPR300.pdf?adddata=2026CS_PPR300</x:v>
      </x:c>
      <x:c r="AE14" s="51" t="str">
        <x:v>https://fantasyfootballcalculator.com/adp/ppr/8-team/all</x:v>
      </x:c>
      <x:c r="AF14" s="51" t="str">
        <x:v>https://www.rotowire.com/football/article/2026-fantasy-football-rankings-ppr-preseason-week-2-update-129449</x:v>
      </x:c>
      <x:c r="AG14" s="47" t="str">
        <x:f>IF(COUNTIFS('Live Draft'!$D$6:$D$133,8,'Live Draft'!$E$6:$E$133,A14)&gt;0,"My Team",IF(COUNTIF('Live Draft'!$E$6:$E$133,A14)&gt;0,"Other Team","Available"))</x:f>
        <x:v>Available</x:v>
      </x:c>
      <x:c r="AH14" s="52" t="n">
        <x:v>46261</x:v>
      </x:c>
    </x:row>
    <x:row r="15" ht="44" hidden="0" customHeight="1">
      <x:c r="A15" s="46" t="str">
        <x:v>De'Von Achane</x:v>
      </x:c>
      <x:c r="B15" s="47" t="str">
        <x:v>RB</x:v>
      </x:c>
      <x:c r="C15" s="47" t="str">
        <x:v>MIA</x:v>
      </x:c>
      <x:c r="D15" s="48" t="n">
        <x:v>6</x:v>
      </x:c>
      <x:c r="E15" s="48" t="n">
        <x:v>10</x:v>
      </x:c>
      <x:c r="F15" s="48" t="n">
        <x:v>19</x:v>
      </x:c>
      <x:c r="G15" s="48" t="n">
        <x:v>10</x:v>
      </x:c>
      <x:c r="H15" s="48" t="n">
        <x:v>-9</x:v>
      </x:c>
      <x:c r="I15" s="48" t="n">
        <x:v>-9</x:v>
      </x:c>
      <x:c r="J15" s="48" t="n">
        <x:v>2</x:v>
      </x:c>
      <x:c r="K15" s="48" t="n">
        <x:v>9</x:v>
      </x:c>
      <x:c r="L15" s="48" t="str">
        <x:v>Anchor</x:v>
      </x:c>
      <x:c r="M15" s="48" t="str">
        <x:v>Fragile ceiling</x:v>
      </x:c>
      <x:c r="N15" s="48" t="n">
        <x:v>7</x:v>
      </x:c>
      <x:c r="O15" s="48" t="n">
        <x:v>10</x:v>
      </x:c>
      <x:c r="P15" s="48" t="n">
        <x:v>8</x:v>
      </x:c>
      <x:c r="Q15" s="48" t="n">
        <x:v>8</x:v>
      </x:c>
      <x:c r="R15" s="48" t="n">
        <x:v>5</x:v>
      </x:c>
      <x:c r="S15" s="49" t="n">
        <x:f>ROUND(N15*VLOOKUP(L15,'Assumptions'!$A$16:$C$19,2,FALSE)+O15*VLOOKUP(L15,'Assumptions'!$A$16:$C$19,3,FALSE)+(P15-5)*0.10+(Q15-5)*0.08+(I15/10)*0.25-(R15-5)*0.10,1)</x:f>
        <x:v>8.2</x:v>
      </x:c>
      <x:c r="T15" s="47" t="str">
        <x:f>IF(U15&lt;&gt;"Use Model",U15,IF(S15&gt;=8.5,"Priority",IF(S15&gt;=7.6,"Target",IF(S15&gt;=6.8,"Watch","Neutral"))))</x:f>
        <x:v>Target</x:v>
      </x:c>
      <x:c r="U15" s="50" t="str">
        <x:v>Target</x:v>
      </x:c>
      <x:c r="V15" s="51" t="str"/>
      <x:c r="W15" s="51" t="str">
        <x:v>One of the few players available at the turn who can lead the league in points per touch.</x:v>
      </x:c>
      <x:c r="X15" s="51" t="str">
        <x:v>Smaller-frame workload and health variance make him a worse lone anchor than Taylor.</x:v>
      </x:c>
      <x:c r="Y15" s="51" t="str">
        <x:v>James Cook III; Chase Brown; CeeDee Lamb</x:v>
      </x:c>
      <x:c r="Z15" s="51" t="str">
        <x:v>Pair with a WR at the same turn unless he is a clear faller.</x:v>
      </x:c>
      <x:c r="AA15" s="51" t="n">
        <x:v>8</x:v>
      </x:c>
      <x:c r="AB15" s="51" t="n">
        <x:v>9</x:v>
      </x:c>
      <x:c r="AC15" s="51" t="n">
        <x:v>24</x:v>
      </x:c>
      <x:c r="AD15" s="51" t="str">
        <x:v>https://g.espncdn.com/s/ffldraftkit/26/NFL26_CS_PPR300.pdf?adddata=2026CS_PPR300</x:v>
      </x:c>
      <x:c r="AE15" s="51" t="str">
        <x:v>https://fantasyfootballcalculator.com/adp/ppr/8-team/all</x:v>
      </x:c>
      <x:c r="AF15" s="51" t="str">
        <x:v>https://www.rotowire.com/football/article/2026-fantasy-football-rankings-ppr-preseason-week-2-update-129449</x:v>
      </x:c>
      <x:c r="AG15" s="47" t="str">
        <x:f>IF(COUNTIFS('Live Draft'!$D$6:$D$133,8,'Live Draft'!$E$6:$E$133,A15)&gt;0,"My Team",IF(COUNTIF('Live Draft'!$E$6:$E$133,A15)&gt;0,"Other Team","Available"))</x:f>
        <x:v>Available</x:v>
      </x:c>
      <x:c r="AH15" s="52" t="n">
        <x:v>46261</x:v>
      </x:c>
    </x:row>
    <x:row r="16" ht="44" hidden="0" customHeight="1">
      <x:c r="A16" s="46" t="str">
        <x:v>Justin Jefferson</x:v>
      </x:c>
      <x:c r="B16" s="47" t="str">
        <x:v>WR</x:v>
      </x:c>
      <x:c r="C16" s="47" t="str">
        <x:v>MIN</x:v>
      </x:c>
      <x:c r="D16" s="48" t="n">
        <x:v>6</x:v>
      </x:c>
      <x:c r="E16" s="48" t="n">
        <x:v>11</x:v>
      </x:c>
      <x:c r="F16" s="48" t="n">
        <x:v>9</x:v>
      </x:c>
      <x:c r="G16" s="48" t="n">
        <x:v>12</x:v>
      </x:c>
      <x:c r="H16" s="48" t="n">
        <x:v>2</x:v>
      </x:c>
      <x:c r="I16" s="48" t="n">
        <x:v>3</x:v>
      </x:c>
      <x:c r="J16" s="48" t="n">
        <x:v>2</x:v>
      </x:c>
      <x:c r="K16" s="48" t="n">
        <x:v>9</x:v>
      </x:c>
      <x:c r="L16" s="48" t="str">
        <x:v>Anchor</x:v>
      </x:c>
      <x:c r="M16" s="48" t="str">
        <x:v>Target + spike weeks</x:v>
      </x:c>
      <x:c r="N16" s="48" t="n">
        <x:v>9</x:v>
      </x:c>
      <x:c r="O16" s="48" t="n">
        <x:v>10</x:v>
      </x:c>
      <x:c r="P16" s="48" t="n">
        <x:v>9</x:v>
      </x:c>
      <x:c r="Q16" s="48" t="n">
        <x:v>9</x:v>
      </x:c>
      <x:c r="R16" s="48" t="n">
        <x:v>3</x:v>
      </x:c>
      <x:c r="S16" s="49" t="n">
        <x:f>ROUND(N16*VLOOKUP(L16,'Assumptions'!$A$16:$C$19,2,FALSE)+O16*VLOOKUP(L16,'Assumptions'!$A$16:$C$19,3,FALSE)+(P16-5)*0.10+(Q16-5)*0.08+(I16/10)*0.25-(R16-5)*0.10,1)</x:f>
        <x:v>10.3</x:v>
      </x:c>
      <x:c r="T16" s="47" t="str">
        <x:f>IF(U16&lt;&gt;"Use Model",U16,IF(S16&gt;=8.5,"Priority",IF(S16&gt;=7.6,"Target",IF(S16&gt;=6.8,"Watch","Neutral"))))</x:f>
        <x:v>Priority</x:v>
      </x:c>
      <x:c r="U16" s="50" t="str">
        <x:v>Use Model</x:v>
      </x:c>
      <x:c r="V16" s="51" t="str"/>
      <x:c r="W16" s="51" t="str">
        <x:v>Adds startable target volume and spike-week potential without requiring a rigid positional build.</x:v>
      </x:c>
      <x:c r="X16" s="51" t="str">
        <x:v>The player can be useful without separating enough from readily available waiver-wire alternatives.</x:v>
      </x:c>
      <x:c r="Y16" s="51" t="str">
        <x:v>Use the Turn Board to select the highest remaining player in the same position/value tier.</x:v>
      </x:c>
      <x:c r="Z16" s="51" t="str">
        <x:v>Pair with RB scarcity or premium QB/TE leverage.</x:v>
      </x:c>
      <x:c r="AA16" s="51" t="n">
        <x:v>8</x:v>
      </x:c>
      <x:c r="AB16" s="51" t="n">
        <x:v>9</x:v>
      </x:c>
      <x:c r="AC16" s="51" t="n">
        <x:v>24</x:v>
      </x:c>
      <x:c r="AD16" s="51" t="str">
        <x:v>https://g.espncdn.com/s/ffldraftkit/26/NFL26_CS_PPR300.pdf?adddata=2026CS_PPR300</x:v>
      </x:c>
      <x:c r="AE16" s="51" t="str">
        <x:v>https://fantasyfootballcalculator.com/adp/ppr/8-team/all</x:v>
      </x:c>
      <x:c r="AF16" s="51" t="str">
        <x:v>https://www.rotowire.com/football/article/2026-fantasy-football-rankings-ppr-preseason-week-2-update-129449</x:v>
      </x:c>
      <x:c r="AG16" s="47" t="str">
        <x:f>IF(COUNTIFS('Live Draft'!$D$6:$D$133,8,'Live Draft'!$E$6:$E$133,A16)&gt;0,"My Team",IF(COUNTIF('Live Draft'!$E$6:$E$133,A16)&gt;0,"Other Team","Available"))</x:f>
        <x:v>Available</x:v>
      </x:c>
      <x:c r="AH16" s="52" t="n">
        <x:v>46261</x:v>
      </x:c>
    </x:row>
    <x:row r="17" ht="44" hidden="0" customHeight="1">
      <x:c r="A17" s="46" t="str">
        <x:v>James Cook III</x:v>
      </x:c>
      <x:c r="B17" s="47" t="str">
        <x:v>RB</x:v>
      </x:c>
      <x:c r="C17" s="47" t="str">
        <x:v>BUF</x:v>
      </x:c>
      <x:c r="D17" s="48" t="n">
        <x:v>7</x:v>
      </x:c>
      <x:c r="E17" s="48" t="n">
        <x:v>12</x:v>
      </x:c>
      <x:c r="F17" s="48" t="n">
        <x:v>8</x:v>
      </x:c>
      <x:c r="G17" s="48" t="n">
        <x:v>13</x:v>
      </x:c>
      <x:c r="H17" s="48" t="n">
        <x:v>4</x:v>
      </x:c>
      <x:c r="I17" s="48" t="n">
        <x:v>5</x:v>
      </x:c>
      <x:c r="J17" s="48" t="n">
        <x:v>2</x:v>
      </x:c>
      <x:c r="K17" s="48" t="n">
        <x:v>9</x:v>
      </x:c>
      <x:c r="L17" s="48" t="str">
        <x:v>Anchor</x:v>
      </x:c>
      <x:c r="M17" s="48" t="str">
        <x:v>Volume + contingency</x:v>
      </x:c>
      <x:c r="N17" s="48" t="n">
        <x:v>8</x:v>
      </x:c>
      <x:c r="O17" s="48" t="n">
        <x:v>9</x:v>
      </x:c>
      <x:c r="P17" s="48" t="n">
        <x:v>9</x:v>
      </x:c>
      <x:c r="Q17" s="48" t="n">
        <x:v>9</x:v>
      </x:c>
      <x:c r="R17" s="48" t="n">
        <x:v>3</x:v>
      </x:c>
      <x:c r="S17" s="49" t="n">
        <x:f>ROUND(N17*VLOOKUP(L17,'Assumptions'!$A$16:$C$19,2,FALSE)+O17*VLOOKUP(L17,'Assumptions'!$A$16:$C$19,3,FALSE)+(P17-5)*0.10+(Q17-5)*0.08+(I17/10)*0.25-(R17-5)*0.10,1)</x:f>
        <x:v>9.3</x:v>
      </x:c>
      <x:c r="T17" s="47" t="str">
        <x:f>IF(U17&lt;&gt;"Use Model",U17,IF(S17&gt;=8.5,"Priority",IF(S17&gt;=7.6,"Target",IF(S17&gt;=6.8,"Watch","Neutral"))))</x:f>
        <x:v>Target</x:v>
      </x:c>
      <x:c r="U17" s="50" t="str">
        <x:v>Target</x:v>
      </x:c>
      <x:c r="V17" s="51" t="str"/>
      <x:c r="W17" s="51" t="str">
        <x:v>Strong fallback RB at the 1/2 turn with elite offense exposure and a better market price than the first tier.</x:v>
      </x:c>
      <x:c r="X17" s="51" t="str">
        <x:v>Touchdown concentration can fluctuate and the receiving floor is below the elite PPR backs.</x:v>
      </x:c>
      <x:c r="Y17" s="51" t="str">
        <x:v>Jonathan Taylor; De'Von Achane; Chase Brown</x:v>
      </x:c>
      <x:c r="Z17" s="51" t="str">
        <x:v>Pair with a WR at the same turn unless he is a clear faller.</x:v>
      </x:c>
      <x:c r="AA17" s="51" t="n">
        <x:v>8</x:v>
      </x:c>
      <x:c r="AB17" s="51" t="n">
        <x:v>9</x:v>
      </x:c>
      <x:c r="AC17" s="51" t="n">
        <x:v>24</x:v>
      </x:c>
      <x:c r="AD17" s="51" t="str">
        <x:v>https://g.espncdn.com/s/ffldraftkit/26/NFL26_CS_PPR300.pdf?adddata=2026CS_PPR300</x:v>
      </x:c>
      <x:c r="AE17" s="51" t="str">
        <x:v>https://fantasyfootballcalculator.com/adp/ppr/8-team/all</x:v>
      </x:c>
      <x:c r="AF17" s="51" t="str">
        <x:v>https://www.rotowire.com/football/article/2026-fantasy-football-rankings-ppr-preseason-week-2-update-129449</x:v>
      </x:c>
      <x:c r="AG17" s="47" t="str">
        <x:f>IF(COUNTIFS('Live Draft'!$D$6:$D$133,8,'Live Draft'!$E$6:$E$133,A17)&gt;0,"My Team",IF(COUNTIF('Live Draft'!$E$6:$E$133,A17)&gt;0,"Other Team","Available"))</x:f>
        <x:v>Available</x:v>
      </x:c>
      <x:c r="AH17" s="52" t="n">
        <x:v>46261</x:v>
      </x:c>
    </x:row>
    <x:row r="18" ht="44" hidden="0" customHeight="1">
      <x:c r="A18" s="46" t="str">
        <x:v>Ashton Jeanty</x:v>
      </x:c>
      <x:c r="B18" s="47" t="str">
        <x:v>RB</x:v>
      </x:c>
      <x:c r="C18" s="47" t="str">
        <x:v>LV</x:v>
      </x:c>
      <x:c r="D18" s="48" t="n">
        <x:v>13</x:v>
      </x:c>
      <x:c r="E18" s="48" t="n">
        <x:v>13</x:v>
      </x:c>
      <x:c r="F18" s="48" t="n">
        <x:v>12</x:v>
      </x:c>
      <x:c r="G18" s="48" t="n">
        <x:v>18</x:v>
      </x:c>
      <x:c r="H18" s="48" t="n">
        <x:v>1</x:v>
      </x:c>
      <x:c r="I18" s="48" t="n">
        <x:v>6</x:v>
      </x:c>
      <x:c r="J18" s="48" t="n">
        <x:v>2</x:v>
      </x:c>
      <x:c r="K18" s="48" t="n">
        <x:v>9</x:v>
      </x:c>
      <x:c r="L18" s="48" t="str">
        <x:v>Anchor</x:v>
      </x:c>
      <x:c r="M18" s="48" t="str">
        <x:v>Volume + contingency</x:v>
      </x:c>
      <x:c r="N18" s="48" t="n">
        <x:v>9</x:v>
      </x:c>
      <x:c r="O18" s="48" t="n">
        <x:v>10</x:v>
      </x:c>
      <x:c r="P18" s="48" t="n">
        <x:v>9</x:v>
      </x:c>
      <x:c r="Q18" s="48" t="n">
        <x:v>9</x:v>
      </x:c>
      <x:c r="R18" s="48" t="n">
        <x:v>7</x:v>
      </x:c>
      <x:c r="S18" s="49" t="n">
        <x:f>ROUND(N18*VLOOKUP(L18,'Assumptions'!$A$16:$C$19,2,FALSE)+O18*VLOOKUP(L18,'Assumptions'!$A$16:$C$19,3,FALSE)+(P18-5)*0.10+(Q18-5)*0.08+(I18/10)*0.25-(R18-5)*0.10,1)</x:f>
        <x:v>10</x:v>
      </x:c>
      <x:c r="T18" s="47" t="str">
        <x:f>IF(U18&lt;&gt;"Use Model",U18,IF(S18&gt;=8.5,"Priority",IF(S18&gt;=7.6,"Target",IF(S18&gt;=6.8,"Watch","Neutral"))))</x:f>
        <x:v>Watch</x:v>
      </x:c>
      <x:c r="U18" s="50" t="str">
        <x:v>Watch</x:v>
      </x:c>
      <x:c r="V18" s="51" t="str">
        <x:v>Questionable with a reported ankle sprain; Week 1 timing remains uncertain.</x:v>
      </x:c>
      <x:c r="W18" s="51" t="str">
        <x:v>High-end receiving and youth profile, but only after a meaningful discount.</x:v>
      </x:c>
      <x:c r="X18" s="51" t="str">
        <x:v>Ankle recovery plus a less bankable workload makes 2.01 an unnecessary risk.</x:v>
      </x:c>
      <x:c r="Y18" s="51" t="str">
        <x:v>Chase Brown; Kenneth Walker III; Omarion Hampton</x:v>
      </x:c>
      <x:c r="Z18" s="51" t="str">
        <x:v>Pair with a WR at the same turn unless he is a clear faller.</x:v>
      </x:c>
      <x:c r="AA18" s="51" t="n">
        <x:v>8</x:v>
      </x:c>
      <x:c r="AB18" s="51" t="n">
        <x:v>9</x:v>
      </x:c>
      <x:c r="AC18" s="51" t="n">
        <x:v>24</x:v>
      </x:c>
      <x:c r="AD18" s="51" t="str">
        <x:v>https://g.espncdn.com/s/ffldraftkit/26/NFL26_CS_PPR300.pdf?adddata=2026CS_PPR300</x:v>
      </x:c>
      <x:c r="AE18" s="51" t="str">
        <x:v>https://fantasyfootballcalculator.com/adp/ppr/8-team/all</x:v>
      </x:c>
      <x:c r="AF18" s="51" t="str">
        <x:v>https://www.reuters.com/sports/report-raiders-rb-ashton-jeanty-believed-have-sprained-ankle--flm-2026-08-24/</x:v>
      </x:c>
      <x:c r="AG18" s="47" t="str">
        <x:f>IF(COUNTIFS('Live Draft'!$D$6:$D$133,8,'Live Draft'!$E$6:$E$133,A18)&gt;0,"My Team",IF(COUNTIF('Live Draft'!$E$6:$E$133,A18)&gt;0,"Other Team","Available"))</x:f>
        <x:v>Available</x:v>
      </x:c>
      <x:c r="AH18" s="52" t="n">
        <x:v>46261</x:v>
      </x:c>
    </x:row>
    <x:row r="19" ht="44" hidden="0" customHeight="1">
      <x:c r="A19" s="46" t="str">
        <x:v>Drake London</x:v>
      </x:c>
      <x:c r="B19" s="47" t="str">
        <x:v>WR</x:v>
      </x:c>
      <x:c r="C19" s="47" t="str">
        <x:v>ATL</x:v>
      </x:c>
      <x:c r="D19" s="48" t="n">
        <x:v>11</x:v>
      </x:c>
      <x:c r="E19" s="48" t="n">
        <x:v>14</x:v>
      </x:c>
      <x:c r="F19" s="48" t="n">
        <x:v>21</x:v>
      </x:c>
      <x:c r="G19" s="48" t="n">
        <x:v>9</x:v>
      </x:c>
      <x:c r="H19" s="48" t="n">
        <x:v>-7</x:v>
      </x:c>
      <x:c r="I19" s="48" t="n">
        <x:v>-12</x:v>
      </x:c>
      <x:c r="J19" s="48" t="n">
        <x:v>3</x:v>
      </x:c>
      <x:c r="K19" s="48" t="n">
        <x:v>24</x:v>
      </x:c>
      <x:c r="L19" s="48" t="str">
        <x:v>Build</x:v>
      </x:c>
      <x:c r="M19" s="48" t="str">
        <x:v>Target + spike weeks</x:v>
      </x:c>
      <x:c r="N19" s="48" t="n">
        <x:v>8</x:v>
      </x:c>
      <x:c r="O19" s="48" t="n">
        <x:v>9</x:v>
      </x:c>
      <x:c r="P19" s="48" t="n">
        <x:v>8</x:v>
      </x:c>
      <x:c r="Q19" s="48" t="n">
        <x:v>8</x:v>
      </x:c>
      <x:c r="R19" s="48" t="n">
        <x:v>3</x:v>
      </x:c>
      <x:c r="S19" s="49" t="n">
        <x:f>ROUND(N19*VLOOKUP(L19,'Assumptions'!$A$16:$C$19,2,FALSE)+O19*VLOOKUP(L19,'Assumptions'!$A$16:$C$19,3,FALSE)+(P19-5)*0.10+(Q19-5)*0.08+(I19/10)*0.25-(R19-5)*0.10,1)</x:f>
        <x:v>9</x:v>
      </x:c>
      <x:c r="T19" s="47" t="str">
        <x:f>IF(U19&lt;&gt;"Use Model",U19,IF(S19&gt;=8.5,"Priority",IF(S19&gt;=7.6,"Target",IF(S19&gt;=6.8,"Watch","Neutral"))))</x:f>
        <x:v>Fade</x:v>
      </x:c>
      <x:c r="U19" s="50" t="str">
        <x:v>Fade</x:v>
      </x:c>
      <x:c r="V19" s="51" t="str"/>
      <x:c r="W19" s="51" t="str">
        <x:v>Good player at a bad opening-turn price. Live 8-team ADP is materially earlier than several expert boards.</x:v>
      </x:c>
      <x:c r="X19" s="51" t="str">
        <x:v>Drafting him at 2.01 sacrifices superior CeeDee/Jefferson/Cook/Achane profiles.</x:v>
      </x:c>
      <x:c r="Y19" s="51" t="str">
        <x:v>CeeDee Lamb; Justin Jefferson; James Cook III</x:v>
      </x:c>
      <x:c r="Z19" s="51" t="str">
        <x:v>Pair with RB scarcity or premium QB/TE leverage.</x:v>
      </x:c>
      <x:c r="AA19" s="51" t="n">
        <x:v>9</x:v>
      </x:c>
      <x:c r="AB19" s="51" t="n">
        <x:v>24</x:v>
      </x:c>
      <x:c r="AC19" s="51" t="n">
        <x:v>25</x:v>
      </x:c>
      <x:c r="AD19" s="51" t="str">
        <x:v>https://g.espncdn.com/s/ffldraftkit/26/NFL26_CS_PPR300.pdf?adddata=2026CS_PPR300</x:v>
      </x:c>
      <x:c r="AE19" s="51" t="str">
        <x:v>https://fantasyfootballcalculator.com/adp/ppr/8-team/all</x:v>
      </x:c>
      <x:c r="AF19" s="51" t="str">
        <x:v>https://www.rotowire.com/football/article/2026-fantasy-football-rankings-ppr-preseason-week-2-update-129449</x:v>
      </x:c>
      <x:c r="AG19" s="47" t="str">
        <x:f>IF(COUNTIFS('Live Draft'!$D$6:$D$133,8,'Live Draft'!$E$6:$E$133,A19)&gt;0,"My Team",IF(COUNTIF('Live Draft'!$E$6:$E$133,A19)&gt;0,"Other Team","Available"))</x:f>
        <x:v>Available</x:v>
      </x:c>
      <x:c r="AH19" s="52" t="n">
        <x:v>46261</x:v>
      </x:c>
    </x:row>
    <x:row r="20" ht="44" hidden="0" customHeight="1">
      <x:c r="A20" s="46" t="str">
        <x:v>Jeremiyah Love</x:v>
      </x:c>
      <x:c r="B20" s="47" t="str">
        <x:v>RB</x:v>
      </x:c>
      <x:c r="C20" s="47" t="str">
        <x:v>ARI</x:v>
      </x:c>
      <x:c r="D20" s="48" t="n">
        <x:v>14</x:v>
      </x:c>
      <x:c r="E20" s="48" t="n">
        <x:v>15</x:v>
      </x:c>
      <x:c r="F20" s="48" t="n">
        <x:v>32</x:v>
      </x:c>
      <x:c r="G20" s="48" t="n">
        <x:v>28</x:v>
      </x:c>
      <x:c r="H20" s="48" t="n">
        <x:v>-17</x:v>
      </x:c>
      <x:c r="I20" s="48" t="n">
        <x:v>-4</x:v>
      </x:c>
      <x:c r="J20" s="48" t="n">
        <x:v>4</x:v>
      </x:c>
      <x:c r="K20" s="48" t="n">
        <x:v>25</x:v>
      </x:c>
      <x:c r="L20" s="48" t="str">
        <x:v>Build</x:v>
      </x:c>
      <x:c r="M20" s="48" t="str">
        <x:v>Volume + contingency</x:v>
      </x:c>
      <x:c r="N20" s="48" t="n">
        <x:v>7</x:v>
      </x:c>
      <x:c r="O20" s="48" t="n">
        <x:v>8</x:v>
      </x:c>
      <x:c r="P20" s="48" t="n">
        <x:v>7</x:v>
      </x:c>
      <x:c r="Q20" s="48" t="n">
        <x:v>7</x:v>
      </x:c>
      <x:c r="R20" s="48" t="n">
        <x:v>5</x:v>
      </x:c>
      <x:c r="S20" s="49" t="n">
        <x:f>ROUND(N20*VLOOKUP(L20,'Assumptions'!$A$16:$C$19,2,FALSE)+O20*VLOOKUP(L20,'Assumptions'!$A$16:$C$19,3,FALSE)+(P20-5)*0.10+(Q20-5)*0.08+(I20/10)*0.25-(R20-5)*0.10,1)</x:f>
        <x:v>7.8</x:v>
      </x:c>
      <x:c r="T20" s="47" t="str">
        <x:f>IF(U20&lt;&gt;"Use Model",U20,IF(S20&gt;=8.5,"Priority",IF(S20&gt;=7.6,"Target",IF(S20&gt;=6.8,"Watch","Neutral"))))</x:f>
        <x:v>Fade</x:v>
      </x:c>
      <x:c r="U20" s="50" t="str">
        <x:v>Fade</x:v>
      </x:c>
      <x:c r="V20" s="51" t="str"/>
      <x:c r="W20" s="51" t="str">
        <x:v>Upside exists, but ESPN's No. 15 rank is far ahead of both expert model rank and live ADP.</x:v>
      </x:c>
      <x:c r="X20" s="51" t="str">
        <x:v>Paying the ESPN sticker price eliminates the rookie-upside discount.</x:v>
      </x:c>
      <x:c r="Y20" s="51" t="str">
        <x:v>Kenneth Walker III; Omarion Hampton; Josh Jacobs</x:v>
      </x:c>
      <x:c r="Z20" s="51" t="str">
        <x:v>Pair with a WR at the same turn unless he is a clear faller.</x:v>
      </x:c>
      <x:c r="AA20" s="51" t="n">
        <x:v>24</x:v>
      </x:c>
      <x:c r="AB20" s="51" t="n">
        <x:v>25</x:v>
      </x:c>
      <x:c r="AC20" s="51" t="n">
        <x:v>40</x:v>
      </x:c>
      <x:c r="AD20" s="51" t="str">
        <x:v>https://g.espncdn.com/s/ffldraftkit/26/NFL26_CS_PPR300.pdf?adddata=2026CS_PPR300</x:v>
      </x:c>
      <x:c r="AE20" s="51" t="str">
        <x:v>https://fantasyfootballcalculator.com/adp/ppr/8-team/all</x:v>
      </x:c>
      <x:c r="AF20" s="51" t="str">
        <x:v>https://www.rotowire.com/football/article/2026-fantasy-football-rankings-ppr-preseason-week-2-update-129449</x:v>
      </x:c>
      <x:c r="AG20" s="47" t="str">
        <x:f>IF(COUNTIFS('Live Draft'!$D$6:$D$133,8,'Live Draft'!$E$6:$E$133,A20)&gt;0,"My Team",IF(COUNTIF('Live Draft'!$E$6:$E$133,A20)&gt;0,"Other Team","Available"))</x:f>
        <x:v>Available</x:v>
      </x:c>
      <x:c r="AH20" s="52" t="n">
        <x:v>46261</x:v>
      </x:c>
    </x:row>
    <x:row r="21" ht="44" hidden="0" customHeight="1">
      <x:c r="A21" s="46" t="str">
        <x:v>Rashee Rice</x:v>
      </x:c>
      <x:c r="B21" s="47" t="str">
        <x:v>WR</x:v>
      </x:c>
      <x:c r="C21" s="47" t="str">
        <x:v>KC</x:v>
      </x:c>
      <x:c r="D21" s="48" t="n">
        <x:v>5</x:v>
      </x:c>
      <x:c r="E21" s="48" t="n">
        <x:v>16</x:v>
      </x:c>
      <x:c r="F21" s="48" t="n">
        <x:v>44</x:v>
      </x:c>
      <x:c r="G21" s="48" t="n">
        <x:v>15</x:v>
      </x:c>
      <x:c r="H21" s="48" t="n">
        <x:v>-28</x:v>
      </x:c>
      <x:c r="I21" s="48" t="n">
        <x:v>-29</x:v>
      </x:c>
      <x:c r="J21" s="48" t="n">
        <x:v>5</x:v>
      </x:c>
      <x:c r="K21" s="48" t="n">
        <x:v>40</x:v>
      </x:c>
      <x:c r="L21" s="48" t="str">
        <x:v>Build</x:v>
      </x:c>
      <x:c r="M21" s="48" t="str">
        <x:v>Target + spike weeks</x:v>
      </x:c>
      <x:c r="N21" s="48" t="n">
        <x:v>7</x:v>
      </x:c>
      <x:c r="O21" s="48" t="n">
        <x:v>8</x:v>
      </x:c>
      <x:c r="P21" s="48" t="n">
        <x:v>7</x:v>
      </x:c>
      <x:c r="Q21" s="48" t="n">
        <x:v>7</x:v>
      </x:c>
      <x:c r="R21" s="48" t="n">
        <x:v>5</x:v>
      </x:c>
      <x:c r="S21" s="49" t="n">
        <x:f>ROUND(N21*VLOOKUP(L21,'Assumptions'!$A$16:$C$19,2,FALSE)+O21*VLOOKUP(L21,'Assumptions'!$A$16:$C$19,3,FALSE)+(P21-5)*0.10+(Q21-5)*0.08+(I21/10)*0.25-(R21-5)*0.10,1)</x:f>
        <x:v>7.2</x:v>
      </x:c>
      <x:c r="T21" s="47" t="str">
        <x:f>IF(U21&lt;&gt;"Use Model",U21,IF(S21&gt;=8.5,"Priority",IF(S21&gt;=7.6,"Target",IF(S21&gt;=6.8,"Watch","Neutral"))))</x:f>
        <x:v>Fade</x:v>
      </x:c>
      <x:c r="U21" s="50" t="str">
        <x:v>Fade</x:v>
      </x:c>
      <x:c r="V21" s="51" t="str"/>
      <x:c r="W21" s="51" t="str">
        <x:v>Useful player, but ESPN prices him like a locked Round 2 alpha while external ranks are much cooler.</x:v>
      </x:c>
      <x:c r="X21" s="51" t="str">
        <x:v>Role or availability uncertainty can turn an early reach into a low-leverage pick.</x:v>
      </x:c>
      <x:c r="Y21" s="51" t="str">
        <x:v>A.J. Brown; Nico Collins; George Pickens</x:v>
      </x:c>
      <x:c r="Z21" s="51" t="str">
        <x:v>Pair with RB scarcity or premium QB/TE leverage.</x:v>
      </x:c>
      <x:c r="AA21" s="51" t="n">
        <x:v>25</x:v>
      </x:c>
      <x:c r="AB21" s="51" t="n">
        <x:v>40</x:v>
      </x:c>
      <x:c r="AC21" s="51" t="n">
        <x:v>41</x:v>
      </x:c>
      <x:c r="AD21" s="51" t="str">
        <x:v>https://g.espncdn.com/s/ffldraftkit/26/NFL26_CS_PPR300.pdf?adddata=2026CS_PPR300</x:v>
      </x:c>
      <x:c r="AE21" s="51" t="str">
        <x:v>https://fantasyfootballcalculator.com/adp/ppr/8-team/all</x:v>
      </x:c>
      <x:c r="AF21" s="51" t="str">
        <x:v>https://www.rotowire.com/football/article/2026-fantasy-football-rankings-ppr-preseason-week-2-update-129449</x:v>
      </x:c>
      <x:c r="AG21" s="47" t="str">
        <x:f>IF(COUNTIFS('Live Draft'!$D$6:$D$133,8,'Live Draft'!$E$6:$E$133,A21)&gt;0,"My Team",IF(COUNTIF('Live Draft'!$E$6:$E$133,A21)&gt;0,"Other Team","Available"))</x:f>
        <x:v>Available</x:v>
      </x:c>
      <x:c r="AH21" s="52" t="n">
        <x:v>46261</x:v>
      </x:c>
    </x:row>
    <x:row r="22" ht="44" hidden="0" customHeight="1">
      <x:c r="A22" s="46" t="str">
        <x:v>Trey McBride</x:v>
      </x:c>
      <x:c r="B22" s="47" t="str">
        <x:v>TE</x:v>
      </x:c>
      <x:c r="C22" s="47" t="str">
        <x:v>ARI</x:v>
      </x:c>
      <x:c r="D22" s="48" t="n">
        <x:v>14</x:v>
      </x:c>
      <x:c r="E22" s="48" t="n">
        <x:v>17</x:v>
      </x:c>
      <x:c r="F22" s="48" t="n">
        <x:v>26</x:v>
      </x:c>
      <x:c r="G22" s="48" t="n">
        <x:v>29</x:v>
      </x:c>
      <x:c r="H22" s="48" t="n">
        <x:v>-9</x:v>
      </x:c>
      <x:c r="I22" s="48" t="n">
        <x:v>3</x:v>
      </x:c>
      <x:c r="J22" s="48" t="n">
        <x:v>4</x:v>
      </x:c>
      <x:c r="K22" s="48" t="n">
        <x:v>25</x:v>
      </x:c>
      <x:c r="L22" s="48" t="str">
        <x:v>Build</x:v>
      </x:c>
      <x:c r="M22" s="48" t="str">
        <x:v>Positional leverage</x:v>
      </x:c>
      <x:c r="N22" s="48" t="n">
        <x:v>8</x:v>
      </x:c>
      <x:c r="O22" s="48" t="n">
        <x:v>9</x:v>
      </x:c>
      <x:c r="P22" s="48" t="n">
        <x:v>8</x:v>
      </x:c>
      <x:c r="Q22" s="48" t="n">
        <x:v>8</x:v>
      </x:c>
      <x:c r="R22" s="48" t="n">
        <x:v>3</x:v>
      </x:c>
      <x:c r="S22" s="49" t="n">
        <x:f>ROUND(N22*VLOOKUP(L22,'Assumptions'!$A$16:$C$19,2,FALSE)+O22*VLOOKUP(L22,'Assumptions'!$A$16:$C$19,3,FALSE)+(P22-5)*0.10+(Q22-5)*0.08+(I22/10)*0.25-(R22-5)*0.10,1)</x:f>
        <x:v>9.4</x:v>
      </x:c>
      <x:c r="T22" s="47" t="str">
        <x:f>IF(U22&lt;&gt;"Use Model",U22,IF(S22&gt;=8.5,"Priority",IF(S22&gt;=7.6,"Target",IF(S22&gt;=6.8,"Watch","Neutral"))))</x:f>
        <x:v>Neutral</x:v>
      </x:c>
      <x:c r="U22" s="50" t="str">
        <x:v>Neutral</x:v>
      </x:c>
      <x:c r="V22" s="51" t="str"/>
      <x:c r="W22" s="51" t="str">
        <x:v>Excellent tight end, but ESPN prices him ahead of the market while Bowers offers the cleaner value case.</x:v>
      </x:c>
      <x:c r="X22" s="51" t="str">
        <x:v>Taking him at ESPN rank 17 can force us to pass on a stronger RB/WR anchor.</x:v>
      </x:c>
      <x:c r="Y22" s="51" t="str">
        <x:v>Brock Bowers; Colston Loveland; Tyler Warren</x:v>
      </x:c>
      <x:c r="Z22" s="51" t="str">
        <x:v>Do not draft a second TE.</x:v>
      </x:c>
      <x:c r="AA22" s="51" t="n">
        <x:v>24</x:v>
      </x:c>
      <x:c r="AB22" s="51" t="n">
        <x:v>25</x:v>
      </x:c>
      <x:c r="AC22" s="51" t="n">
        <x:v>40</x:v>
      </x:c>
      <x:c r="AD22" s="51" t="str">
        <x:v>https://g.espncdn.com/s/ffldraftkit/26/NFL26_CS_PPR300.pdf?adddata=2026CS_PPR300</x:v>
      </x:c>
      <x:c r="AE22" s="51" t="str">
        <x:v>https://fantasyfootballcalculator.com/adp/ppr/8-team/all</x:v>
      </x:c>
      <x:c r="AF22" s="51" t="str">
        <x:v>https://www.rotowire.com/football/article/2026-fantasy-football-rankings-ppr-preseason-week-2-update-129449</x:v>
      </x:c>
      <x:c r="AG22" s="47" t="str">
        <x:f>IF(COUNTIFS('Live Draft'!$D$6:$D$133,8,'Live Draft'!$E$6:$E$133,A22)&gt;0,"My Team",IF(COUNTIF('Live Draft'!$E$6:$E$133,A22)&gt;0,"Other Team","Available"))</x:f>
        <x:v>Available</x:v>
      </x:c>
      <x:c r="AH22" s="52" t="n">
        <x:v>46261</x:v>
      </x:c>
    </x:row>
    <x:row r="23" ht="44" hidden="0" customHeight="1">
      <x:c r="A23" s="46" t="str">
        <x:v>Saquon Barkley</x:v>
      </x:c>
      <x:c r="B23" s="47" t="str">
        <x:v>RB</x:v>
      </x:c>
      <x:c r="C23" s="47" t="str">
        <x:v>PHI</x:v>
      </x:c>
      <x:c r="D23" s="48" t="n">
        <x:v>10</x:v>
      </x:c>
      <x:c r="E23" s="48" t="n">
        <x:v>18</x:v>
      </x:c>
      <x:c r="F23" s="48" t="n">
        <x:v>14</x:v>
      </x:c>
      <x:c r="G23" s="48" t="n">
        <x:v>19</x:v>
      </x:c>
      <x:c r="H23" s="48" t="n">
        <x:v>4</x:v>
      </x:c>
      <x:c r="I23" s="48" t="n">
        <x:v>5</x:v>
      </x:c>
      <x:c r="J23" s="48" t="n">
        <x:v>2</x:v>
      </x:c>
      <x:c r="K23" s="48" t="n">
        <x:v>9</x:v>
      </x:c>
      <x:c r="L23" s="48" t="str">
        <x:v>Anchor</x:v>
      </x:c>
      <x:c r="M23" s="48" t="str">
        <x:v>Volume + contingency</x:v>
      </x:c>
      <x:c r="N23" s="48" t="n">
        <x:v>8</x:v>
      </x:c>
      <x:c r="O23" s="48" t="n">
        <x:v>9</x:v>
      </x:c>
      <x:c r="P23" s="48" t="n">
        <x:v>8</x:v>
      </x:c>
      <x:c r="Q23" s="48" t="n">
        <x:v>8</x:v>
      </x:c>
      <x:c r="R23" s="48" t="n">
        <x:v>3</x:v>
      </x:c>
      <x:c r="S23" s="49" t="n">
        <x:f>ROUND(N23*VLOOKUP(L23,'Assumptions'!$A$16:$C$19,2,FALSE)+O23*VLOOKUP(L23,'Assumptions'!$A$16:$C$19,3,FALSE)+(P23-5)*0.10+(Q23-5)*0.08+(I23/10)*0.25-(R23-5)*0.10,1)</x:f>
        <x:v>9.2</x:v>
      </x:c>
      <x:c r="T23" s="47" t="str">
        <x:f>IF(U23&lt;&gt;"Use Model",U23,IF(S23&gt;=8.5,"Priority",IF(S23&gt;=7.6,"Target",IF(S23&gt;=6.8,"Watch","Neutral"))))</x:f>
        <x:v>Priority</x:v>
      </x:c>
      <x:c r="U23" s="50" t="str">
        <x:v>Use Model</x:v>
      </x:c>
      <x:c r="V23" s="51" t="str"/>
      <x:c r="W23" s="51" t="str">
        <x:v>Fits the two-FLEX build by adding either bankable touches or contingent workload at the correct price.</x:v>
      </x:c>
      <x:c r="X23" s="51" t="str">
        <x:v>The player can be useful without separating enough from readily available waiver-wire alternatives.</x:v>
      </x:c>
      <x:c r="Y23" s="51" t="str">
        <x:v>Use the Turn Board to select the highest remaining player in the same position/value tier.</x:v>
      </x:c>
      <x:c r="Z23" s="51" t="str">
        <x:v>Pair with a WR at the same turn unless he is a clear faller.</x:v>
      </x:c>
      <x:c r="AA23" s="51" t="n">
        <x:v>8</x:v>
      </x:c>
      <x:c r="AB23" s="51" t="n">
        <x:v>9</x:v>
      </x:c>
      <x:c r="AC23" s="51" t="n">
        <x:v>24</x:v>
      </x:c>
      <x:c r="AD23" s="51" t="str">
        <x:v>https://g.espncdn.com/s/ffldraftkit/26/NFL26_CS_PPR300.pdf?adddata=2026CS_PPR300</x:v>
      </x:c>
      <x:c r="AE23" s="51" t="str">
        <x:v>https://fantasyfootballcalculator.com/adp/ppr/8-team/all</x:v>
      </x:c>
      <x:c r="AF23" s="51" t="str">
        <x:v>https://www.rotowire.com/football/article/2026-fantasy-football-rankings-ppr-preseason-week-2-update-129449</x:v>
      </x:c>
      <x:c r="AG23" s="47" t="str">
        <x:f>IF(COUNTIFS('Live Draft'!$D$6:$D$133,8,'Live Draft'!$E$6:$E$133,A23)&gt;0,"My Team",IF(COUNTIF('Live Draft'!$E$6:$E$133,A23)&gt;0,"Other Team","Available"))</x:f>
        <x:v>Available</x:v>
      </x:c>
      <x:c r="AH23" s="52" t="n">
        <x:v>46261</x:v>
      </x:c>
    </x:row>
    <x:row r="24" ht="44" hidden="0" customHeight="1">
      <x:c r="A24" s="46" t="str">
        <x:v>Derrick Henry</x:v>
      </x:c>
      <x:c r="B24" s="47" t="str">
        <x:v>RB</x:v>
      </x:c>
      <x:c r="C24" s="47" t="str">
        <x:v>BAL</x:v>
      </x:c>
      <x:c r="D24" s="48" t="n">
        <x:v>13</x:v>
      </x:c>
      <x:c r="E24" s="48" t="n">
        <x:v>19</x:v>
      </x:c>
      <x:c r="F24" s="48" t="n">
        <x:v>20</x:v>
      </x:c>
      <x:c r="G24" s="48" t="n">
        <x:v>16</x:v>
      </x:c>
      <x:c r="H24" s="48" t="n">
        <x:v>-1</x:v>
      </x:c>
      <x:c r="I24" s="48" t="n">
        <x:v>-4</x:v>
      </x:c>
      <x:c r="J24" s="48" t="n">
        <x:v>3</x:v>
      </x:c>
      <x:c r="K24" s="48" t="n">
        <x:v>24</x:v>
      </x:c>
      <x:c r="L24" s="48" t="str">
        <x:v>Build</x:v>
      </x:c>
      <x:c r="M24" s="48" t="str">
        <x:v>Volume + contingency</x:v>
      </x:c>
      <x:c r="N24" s="48" t="n">
        <x:v>8</x:v>
      </x:c>
      <x:c r="O24" s="48" t="n">
        <x:v>9</x:v>
      </x:c>
      <x:c r="P24" s="48" t="n">
        <x:v>8</x:v>
      </x:c>
      <x:c r="Q24" s="48" t="n">
        <x:v>8</x:v>
      </x:c>
      <x:c r="R24" s="48" t="n">
        <x:v>3</x:v>
      </x:c>
      <x:c r="S24" s="49" t="n">
        <x:f>ROUND(N24*VLOOKUP(L24,'Assumptions'!$A$16:$C$19,2,FALSE)+O24*VLOOKUP(L24,'Assumptions'!$A$16:$C$19,3,FALSE)+(P24-5)*0.10+(Q24-5)*0.08+(I24/10)*0.25-(R24-5)*0.10,1)</x:f>
        <x:v>9.2</x:v>
      </x:c>
      <x:c r="T24" s="47" t="str">
        <x:f>IF(U24&lt;&gt;"Use Model",U24,IF(S24&gt;=8.5,"Priority",IF(S24&gt;=7.6,"Target",IF(S24&gt;=6.8,"Watch","Neutral"))))</x:f>
        <x:v>Priority</x:v>
      </x:c>
      <x:c r="U24" s="50" t="str">
        <x:v>Use Model</x:v>
      </x:c>
      <x:c r="V24" s="51" t="str"/>
      <x:c r="W24" s="51" t="str">
        <x:v>Fits the two-FLEX build by adding either bankable touches or contingent workload at the correct price.</x:v>
      </x:c>
      <x:c r="X24" s="51" t="str">
        <x:v>The player can be useful without separating enough from readily available waiver-wire alternatives.</x:v>
      </x:c>
      <x:c r="Y24" s="51" t="str">
        <x:v>Use the Turn Board to select the highest remaining player in the same position/value tier.</x:v>
      </x:c>
      <x:c r="Z24" s="51" t="str">
        <x:v>Pair with a WR at the same turn unless he is a clear faller.</x:v>
      </x:c>
      <x:c r="AA24" s="51" t="n">
        <x:v>9</x:v>
      </x:c>
      <x:c r="AB24" s="51" t="n">
        <x:v>24</x:v>
      </x:c>
      <x:c r="AC24" s="51" t="n">
        <x:v>25</x:v>
      </x:c>
      <x:c r="AD24" s="51" t="str">
        <x:v>https://g.espncdn.com/s/ffldraftkit/26/NFL26_CS_PPR300.pdf?adddata=2026CS_PPR300</x:v>
      </x:c>
      <x:c r="AE24" s="51" t="str">
        <x:v>https://fantasyfootballcalculator.com/adp/ppr/8-team/all</x:v>
      </x:c>
      <x:c r="AF24" s="51" t="str">
        <x:v>https://www.rotowire.com/football/article/2026-fantasy-football-rankings-ppr-preseason-week-2-update-129449</x:v>
      </x:c>
      <x:c r="AG24" s="47" t="str">
        <x:f>IF(COUNTIFS('Live Draft'!$D$6:$D$133,8,'Live Draft'!$E$6:$E$133,A24)&gt;0,"My Team",IF(COUNTIF('Live Draft'!$E$6:$E$133,A24)&gt;0,"Other Team","Available"))</x:f>
        <x:v>Available</x:v>
      </x:c>
      <x:c r="AH24" s="52" t="n">
        <x:v>46261</x:v>
      </x:c>
    </x:row>
    <x:row r="25" ht="44" hidden="0" customHeight="1">
      <x:c r="A25" s="46" t="str">
        <x:v>Chase Brown</x:v>
      </x:c>
      <x:c r="B25" s="47" t="str">
        <x:v>RB</x:v>
      </x:c>
      <x:c r="C25" s="47" t="str">
        <x:v>CIN</x:v>
      </x:c>
      <x:c r="D25" s="48" t="n">
        <x:v>6</x:v>
      </x:c>
      <x:c r="E25" s="48" t="n">
        <x:v>20</x:v>
      </x:c>
      <x:c r="F25" s="48" t="n">
        <x:v>11</x:v>
      </x:c>
      <x:c r="G25" s="48" t="n">
        <x:v>14</x:v>
      </x:c>
      <x:c r="H25" s="48" t="n">
        <x:v>9</x:v>
      </x:c>
      <x:c r="I25" s="48" t="n">
        <x:v>3</x:v>
      </x:c>
      <x:c r="J25" s="48" t="n">
        <x:v>2</x:v>
      </x:c>
      <x:c r="K25" s="48" t="n">
        <x:v>9</x:v>
      </x:c>
      <x:c r="L25" s="48" t="str">
        <x:v>Anchor</x:v>
      </x:c>
      <x:c r="M25" s="48" t="str">
        <x:v>Volume + contingency</x:v>
      </x:c>
      <x:c r="N25" s="48" t="n">
        <x:v>9</x:v>
      </x:c>
      <x:c r="O25" s="48" t="n">
        <x:v>10</x:v>
      </x:c>
      <x:c r="P25" s="48" t="n">
        <x:v>9</x:v>
      </x:c>
      <x:c r="Q25" s="48" t="n">
        <x:v>9</x:v>
      </x:c>
      <x:c r="R25" s="48" t="n">
        <x:v>3</x:v>
      </x:c>
      <x:c r="S25" s="49" t="n">
        <x:f>ROUND(N25*VLOOKUP(L25,'Assumptions'!$A$16:$C$19,2,FALSE)+O25*VLOOKUP(L25,'Assumptions'!$A$16:$C$19,3,FALSE)+(P25-5)*0.10+(Q25-5)*0.08+(I25/10)*0.25-(R25-5)*0.10,1)</x:f>
        <x:v>10.3</x:v>
      </x:c>
      <x:c r="T25" s="47" t="str">
        <x:f>IF(U25&lt;&gt;"Use Model",U25,IF(S25&gt;=8.5,"Priority",IF(S25&gt;=7.6,"Target",IF(S25&gt;=6.8,"Watch","Neutral"))))</x:f>
        <x:v>Priority</x:v>
      </x:c>
      <x:c r="U25" s="50" t="str">
        <x:v>Use Model</x:v>
      </x:c>
      <x:c r="V25" s="51" t="str"/>
      <x:c r="W25" s="51" t="str">
        <x:v>Fits the two-FLEX build by adding either bankable touches or contingent workload at the correct price.</x:v>
      </x:c>
      <x:c r="X25" s="51" t="str">
        <x:v>The player can be useful without separating enough from readily available waiver-wire alternatives.</x:v>
      </x:c>
      <x:c r="Y25" s="51" t="str">
        <x:v>Use the Turn Board to select the highest remaining player in the same position/value tier.</x:v>
      </x:c>
      <x:c r="Z25" s="51" t="str">
        <x:v>Pair with a WR at the same turn unless he is a clear faller.</x:v>
      </x:c>
      <x:c r="AA25" s="51" t="n">
        <x:v>8</x:v>
      </x:c>
      <x:c r="AB25" s="51" t="n">
        <x:v>9</x:v>
      </x:c>
      <x:c r="AC25" s="51" t="n">
        <x:v>24</x:v>
      </x:c>
      <x:c r="AD25" s="51" t="str">
        <x:v>https://g.espncdn.com/s/ffldraftkit/26/NFL26_CS_PPR300.pdf?adddata=2026CS_PPR300</x:v>
      </x:c>
      <x:c r="AE25" s="51" t="str">
        <x:v>https://fantasyfootballcalculator.com/adp/ppr/8-team/all</x:v>
      </x:c>
      <x:c r="AF25" s="51" t="str">
        <x:v>https://www.rotowire.com/football/article/2026-fantasy-football-rankings-ppr-preseason-week-2-update-129449</x:v>
      </x:c>
      <x:c r="AG25" s="47" t="str">
        <x:f>IF(COUNTIFS('Live Draft'!$D$6:$D$133,8,'Live Draft'!$E$6:$E$133,A25)&gt;0,"My Team",IF(COUNTIF('Live Draft'!$E$6:$E$133,A25)&gt;0,"Other Team","Available"))</x:f>
        <x:v>Available</x:v>
      </x:c>
      <x:c r="AH25" s="52" t="n">
        <x:v>46261</x:v>
      </x:c>
    </x:row>
    <x:row r="26" ht="44" hidden="0" customHeight="1">
      <x:c r="A26" s="46" t="str">
        <x:v>Kenneth Walker III</x:v>
      </x:c>
      <x:c r="B26" s="47" t="str">
        <x:v>RB</x:v>
      </x:c>
      <x:c r="C26" s="47" t="str">
        <x:v>KC</x:v>
      </x:c>
      <x:c r="D26" s="48" t="n">
        <x:v>5</x:v>
      </x:c>
      <x:c r="E26" s="48" t="n">
        <x:v>21</x:v>
      </x:c>
      <x:c r="F26" s="48" t="n">
        <x:v>18</x:v>
      </x:c>
      <x:c r="G26" s="48" t="n">
        <x:v>23</x:v>
      </x:c>
      <x:c r="H26" s="48" t="n">
        <x:v>3</x:v>
      </x:c>
      <x:c r="I26" s="48" t="n">
        <x:v>5</x:v>
      </x:c>
      <x:c r="J26" s="48" t="n">
        <x:v>3</x:v>
      </x:c>
      <x:c r="K26" s="48" t="n">
        <x:v>24</x:v>
      </x:c>
      <x:c r="L26" s="48" t="str">
        <x:v>Build</x:v>
      </x:c>
      <x:c r="M26" s="48" t="str">
        <x:v>Volume + contingency</x:v>
      </x:c>
      <x:c r="N26" s="48" t="n">
        <x:v>8</x:v>
      </x:c>
      <x:c r="O26" s="48" t="n">
        <x:v>9</x:v>
      </x:c>
      <x:c r="P26" s="48" t="n">
        <x:v>8</x:v>
      </x:c>
      <x:c r="Q26" s="48" t="n">
        <x:v>8</x:v>
      </x:c>
      <x:c r="R26" s="48" t="n">
        <x:v>3</x:v>
      </x:c>
      <x:c r="S26" s="49" t="n">
        <x:f>ROUND(N26*VLOOKUP(L26,'Assumptions'!$A$16:$C$19,2,FALSE)+O26*VLOOKUP(L26,'Assumptions'!$A$16:$C$19,3,FALSE)+(P26-5)*0.10+(Q26-5)*0.08+(I26/10)*0.25-(R26-5)*0.10,1)</x:f>
        <x:v>9.4</x:v>
      </x:c>
      <x:c r="T26" s="47" t="str">
        <x:f>IF(U26&lt;&gt;"Use Model",U26,IF(S26&gt;=8.5,"Priority",IF(S26&gt;=7.6,"Target",IF(S26&gt;=6.8,"Watch","Neutral"))))</x:f>
        <x:v>Priority</x:v>
      </x:c>
      <x:c r="U26" s="50" t="str">
        <x:v>Use Model</x:v>
      </x:c>
      <x:c r="V26" s="51" t="str"/>
      <x:c r="W26" s="51" t="str">
        <x:v>Fits the two-FLEX build by adding either bankable touches or contingent workload at the correct price.</x:v>
      </x:c>
      <x:c r="X26" s="51" t="str">
        <x:v>The player can be useful without separating enough from readily available waiver-wire alternatives.</x:v>
      </x:c>
      <x:c r="Y26" s="51" t="str">
        <x:v>Use the Turn Board to select the highest remaining player in the same position/value tier.</x:v>
      </x:c>
      <x:c r="Z26" s="51" t="str">
        <x:v>Pair with a WR at the same turn unless he is a clear faller.</x:v>
      </x:c>
      <x:c r="AA26" s="51" t="n">
        <x:v>9</x:v>
      </x:c>
      <x:c r="AB26" s="51" t="n">
        <x:v>24</x:v>
      </x:c>
      <x:c r="AC26" s="51" t="n">
        <x:v>25</x:v>
      </x:c>
      <x:c r="AD26" s="51" t="str">
        <x:v>https://g.espncdn.com/s/ffldraftkit/26/NFL26_CS_PPR300.pdf?adddata=2026CS_PPR300</x:v>
      </x:c>
      <x:c r="AE26" s="51" t="str">
        <x:v>https://fantasyfootballcalculator.com/adp/ppr/8-team/all</x:v>
      </x:c>
      <x:c r="AF26" s="51" t="str">
        <x:v>https://www.rotowire.com/football/article/2026-fantasy-football-rankings-ppr-preseason-week-2-update-129449</x:v>
      </x:c>
      <x:c r="AG26" s="47" t="str">
        <x:f>IF(COUNTIFS('Live Draft'!$D$6:$D$133,8,'Live Draft'!$E$6:$E$133,A26)&gt;0,"My Team",IF(COUNTIF('Live Draft'!$E$6:$E$133,A26)&gt;0,"Other Team","Available"))</x:f>
        <x:v>Available</x:v>
      </x:c>
      <x:c r="AH26" s="52" t="n">
        <x:v>46261</x:v>
      </x:c>
    </x:row>
    <x:row r="27" ht="44" hidden="0" customHeight="1">
      <x:c r="A27" s="46" t="str">
        <x:v>Omarion Hampton</x:v>
      </x:c>
      <x:c r="B27" s="47" t="str">
        <x:v>RB</x:v>
      </x:c>
      <x:c r="C27" s="47" t="str">
        <x:v>LAC</x:v>
      </x:c>
      <x:c r="D27" s="48" t="n">
        <x:v>7</x:v>
      </x:c>
      <x:c r="E27" s="48" t="n">
        <x:v>22</x:v>
      </x:c>
      <x:c r="F27" s="48" t="n">
        <x:v>15</x:v>
      </x:c>
      <x:c r="G27" s="48" t="n">
        <x:v>24</x:v>
      </x:c>
      <x:c r="H27" s="48" t="n">
        <x:v>7</x:v>
      </x:c>
      <x:c r="I27" s="48" t="n">
        <x:v>9</x:v>
      </x:c>
      <x:c r="J27" s="48" t="n">
        <x:v>3</x:v>
      </x:c>
      <x:c r="K27" s="48" t="n">
        <x:v>24</x:v>
      </x:c>
      <x:c r="L27" s="48" t="str">
        <x:v>Build</x:v>
      </x:c>
      <x:c r="M27" s="48" t="str">
        <x:v>Volume + contingency</x:v>
      </x:c>
      <x:c r="N27" s="48" t="n">
        <x:v>8</x:v>
      </x:c>
      <x:c r="O27" s="48" t="n">
        <x:v>9</x:v>
      </x:c>
      <x:c r="P27" s="48" t="n">
        <x:v>8</x:v>
      </x:c>
      <x:c r="Q27" s="48" t="n">
        <x:v>8</x:v>
      </x:c>
      <x:c r="R27" s="48" t="n">
        <x:v>3</x:v>
      </x:c>
      <x:c r="S27" s="49" t="n">
        <x:f>ROUND(N27*VLOOKUP(L27,'Assumptions'!$A$16:$C$19,2,FALSE)+O27*VLOOKUP(L27,'Assumptions'!$A$16:$C$19,3,FALSE)+(P27-5)*0.10+(Q27-5)*0.08+(I27/10)*0.25-(R27-5)*0.10,1)</x:f>
        <x:v>9.5</x:v>
      </x:c>
      <x:c r="T27" s="47" t="str">
        <x:f>IF(U27&lt;&gt;"Use Model",U27,IF(S27&gt;=8.5,"Priority",IF(S27&gt;=7.6,"Target",IF(S27&gt;=6.8,"Watch","Neutral"))))</x:f>
        <x:v>Priority</x:v>
      </x:c>
      <x:c r="U27" s="50" t="str">
        <x:v>Use Model</x:v>
      </x:c>
      <x:c r="V27" s="51" t="str"/>
      <x:c r="W27" s="51" t="str">
        <x:v>Fits the two-FLEX build by adding either bankable touches or contingent workload at the correct price.</x:v>
      </x:c>
      <x:c r="X27" s="51" t="str">
        <x:v>The player can be useful without separating enough from readily available waiver-wire alternatives.</x:v>
      </x:c>
      <x:c r="Y27" s="51" t="str">
        <x:v>Use the Turn Board to select the highest remaining player in the same position/value tier.</x:v>
      </x:c>
      <x:c r="Z27" s="51" t="str">
        <x:v>Pair with a WR at the same turn unless he is a clear faller.</x:v>
      </x:c>
      <x:c r="AA27" s="51" t="n">
        <x:v>9</x:v>
      </x:c>
      <x:c r="AB27" s="51" t="n">
        <x:v>24</x:v>
      </x:c>
      <x:c r="AC27" s="51" t="n">
        <x:v>25</x:v>
      </x:c>
      <x:c r="AD27" s="51" t="str">
        <x:v>https://g.espncdn.com/s/ffldraftkit/26/NFL26_CS_PPR300.pdf?adddata=2026CS_PPR300</x:v>
      </x:c>
      <x:c r="AE27" s="51" t="str">
        <x:v>https://fantasyfootballcalculator.com/adp/ppr/8-team/all</x:v>
      </x:c>
      <x:c r="AF27" s="51" t="str">
        <x:v>https://www.rotowire.com/football/article/2026-fantasy-football-rankings-ppr-preseason-week-2-update-129449</x:v>
      </x:c>
      <x:c r="AG27" s="47" t="str">
        <x:f>IF(COUNTIFS('Live Draft'!$D$6:$D$133,8,'Live Draft'!$E$6:$E$133,A27)&gt;0,"My Team",IF(COUNTIF('Live Draft'!$E$6:$E$133,A27)&gt;0,"Other Team","Available"))</x:f>
        <x:v>Available</x:v>
      </x:c>
      <x:c r="AH27" s="52" t="n">
        <x:v>46261</x:v>
      </x:c>
    </x:row>
    <x:row r="28" ht="44" hidden="0" customHeight="1">
      <x:c r="A28" s="46" t="str">
        <x:v>Breece Hall</x:v>
      </x:c>
      <x:c r="B28" s="47" t="str">
        <x:v>RB</x:v>
      </x:c>
      <x:c r="C28" s="47" t="str">
        <x:v>NYJ</x:v>
      </x:c>
      <x:c r="D28" s="48" t="n">
        <x:v>13</x:v>
      </x:c>
      <x:c r="E28" s="48" t="n">
        <x:v>23</x:v>
      </x:c>
      <x:c r="F28" s="48" t="n">
        <x:v>35</x:v>
      </x:c>
      <x:c r="G28" s="48" t="n">
        <x:v>35</x:v>
      </x:c>
      <x:c r="H28" s="48" t="n">
        <x:v>-12</x:v>
      </x:c>
      <x:c r="I28" s="48" t="n">
        <x:v>0</x:v>
      </x:c>
      <x:c r="J28" s="48" t="n">
        <x:v>5</x:v>
      </x:c>
      <x:c r="K28" s="48" t="n">
        <x:v>40</x:v>
      </x:c>
      <x:c r="L28" s="48" t="str">
        <x:v>Build</x:v>
      </x:c>
      <x:c r="M28" s="48" t="str">
        <x:v>Volume + contingency</x:v>
      </x:c>
      <x:c r="N28" s="48" t="n">
        <x:v>7</x:v>
      </x:c>
      <x:c r="O28" s="48" t="n">
        <x:v>8</x:v>
      </x:c>
      <x:c r="P28" s="48" t="n">
        <x:v>7</x:v>
      </x:c>
      <x:c r="Q28" s="48" t="n">
        <x:v>7</x:v>
      </x:c>
      <x:c r="R28" s="48" t="n">
        <x:v>3</x:v>
      </x:c>
      <x:c r="S28" s="49" t="n">
        <x:f>ROUND(N28*VLOOKUP(L28,'Assumptions'!$A$16:$C$19,2,FALSE)+O28*VLOOKUP(L28,'Assumptions'!$A$16:$C$19,3,FALSE)+(P28-5)*0.10+(Q28-5)*0.08+(I28/10)*0.25-(R28-5)*0.10,1)</x:f>
        <x:v>8.1</x:v>
      </x:c>
      <x:c r="T28" s="47" t="str">
        <x:f>IF(U28&lt;&gt;"Use Model",U28,IF(S28&gt;=8.5,"Priority",IF(S28&gt;=7.6,"Target",IF(S28&gt;=6.8,"Watch","Neutral"))))</x:f>
        <x:v>Target</x:v>
      </x:c>
      <x:c r="U28" s="50" t="str">
        <x:v>Use Model</x:v>
      </x:c>
      <x:c r="V28" s="51" t="str"/>
      <x:c r="W28" s="51" t="str">
        <x:v>Fits the two-FLEX build by adding either bankable touches or contingent workload at the correct price.</x:v>
      </x:c>
      <x:c r="X28" s="51" t="str">
        <x:v>The player can be useful without separating enough from readily available waiver-wire alternatives.</x:v>
      </x:c>
      <x:c r="Y28" s="51" t="str">
        <x:v>Use the Turn Board to select the highest remaining player in the same position/value tier.</x:v>
      </x:c>
      <x:c r="Z28" s="51" t="str">
        <x:v>Pair with a WR at the same turn unless he is a clear faller.</x:v>
      </x:c>
      <x:c r="AA28" s="51" t="n">
        <x:v>25</x:v>
      </x:c>
      <x:c r="AB28" s="51" t="n">
        <x:v>40</x:v>
      </x:c>
      <x:c r="AC28" s="51" t="n">
        <x:v>41</x:v>
      </x:c>
      <x:c r="AD28" s="51" t="str">
        <x:v>https://g.espncdn.com/s/ffldraftkit/26/NFL26_CS_PPR300.pdf?adddata=2026CS_PPR300</x:v>
      </x:c>
      <x:c r="AE28" s="51" t="str">
        <x:v>https://fantasyfootballcalculator.com/adp/ppr/8-team/all</x:v>
      </x:c>
      <x:c r="AF28" s="51" t="str">
        <x:v>https://www.rotowire.com/football/article/2026-fantasy-football-rankings-ppr-preseason-week-2-update-129449</x:v>
      </x:c>
      <x:c r="AG28" s="47" t="str">
        <x:f>IF(COUNTIFS('Live Draft'!$D$6:$D$133,8,'Live Draft'!$E$6:$E$133,A28)&gt;0,"My Team",IF(COUNTIF('Live Draft'!$E$6:$E$133,A28)&gt;0,"Other Team","Available"))</x:f>
        <x:v>Available</x:v>
      </x:c>
      <x:c r="AH28" s="52" t="n">
        <x:v>46261</x:v>
      </x:c>
    </x:row>
    <x:row r="29" ht="44" hidden="0" customHeight="1">
      <x:c r="A29" s="46" t="str">
        <x:v>Brock Bowers</x:v>
      </x:c>
      <x:c r="B29" s="47" t="str">
        <x:v>TE</x:v>
      </x:c>
      <x:c r="C29" s="47" t="str">
        <x:v>LV</x:v>
      </x:c>
      <x:c r="D29" s="48" t="n">
        <x:v>13</x:v>
      </x:c>
      <x:c r="E29" s="48" t="n">
        <x:v>24</x:v>
      </x:c>
      <x:c r="F29" s="48" t="n">
        <x:v>17</x:v>
      </x:c>
      <x:c r="G29" s="48" t="n">
        <x:v>37</x:v>
      </x:c>
      <x:c r="H29" s="48" t="n">
        <x:v>7</x:v>
      </x:c>
      <x:c r="I29" s="48" t="n">
        <x:v>20</x:v>
      </x:c>
      <x:c r="J29" s="48" t="n">
        <x:v>3</x:v>
      </x:c>
      <x:c r="K29" s="48" t="n">
        <x:v>24</x:v>
      </x:c>
      <x:c r="L29" s="48" t="str">
        <x:v>Build</x:v>
      </x:c>
      <x:c r="M29" s="48" t="str">
        <x:v>Positional hammer</x:v>
      </x:c>
      <x:c r="N29" s="48" t="n">
        <x:v>9</x:v>
      </x:c>
      <x:c r="O29" s="48" t="n">
        <x:v>10</x:v>
      </x:c>
      <x:c r="P29" s="48" t="n">
        <x:v>8</x:v>
      </x:c>
      <x:c r="Q29" s="48" t="n">
        <x:v>8</x:v>
      </x:c>
      <x:c r="R29" s="48" t="n">
        <x:v>3</x:v>
      </x:c>
      <x:c r="S29" s="49" t="n">
        <x:f>ROUND(N29*VLOOKUP(L29,'Assumptions'!$A$16:$C$19,2,FALSE)+O29*VLOOKUP(L29,'Assumptions'!$A$16:$C$19,3,FALSE)+(P29-5)*0.10+(Q29-5)*0.08+(I29/10)*0.25-(R29-5)*0.10,1)</x:f>
        <x:v>10.8</x:v>
      </x:c>
      <x:c r="T29" s="47" t="str">
        <x:f>IF(U29&lt;&gt;"Use Model",U29,IF(S29&gt;=8.5,"Priority",IF(S29&gt;=7.6,"Target",IF(S29&gt;=6.8,"Watch","Neutral"))))</x:f>
        <x:v>Priority</x:v>
      </x:c>
      <x:c r="U29" s="50" t="str">
        <x:v>Priority</x:v>
      </x:c>
      <x:c r="V29" s="51" t="str"/>
      <x:c r="W29" s="51" t="str">
        <x:v>Our preferred Round 3 pick. Expert model rank beats ESPN and 8-team ADP, creating the clearest elite-TE leverage.</x:v>
      </x:c>
      <x:c r="X29" s="51" t="str">
        <x:v>The opportunity cost is a strong WR2/RB2, so only take him once first-round anchors are secured.</x:v>
      </x:c>
      <x:c r="Y29" s="51" t="str">
        <x:v>A.J. Brown; Nico Collins; Malik Nabers</x:v>
      </x:c>
      <x:c r="Z29" s="51" t="str">
        <x:v>Do not draft a second TE.</x:v>
      </x:c>
      <x:c r="AA29" s="51" t="n">
        <x:v>9</x:v>
      </x:c>
      <x:c r="AB29" s="51" t="n">
        <x:v>24</x:v>
      </x:c>
      <x:c r="AC29" s="51" t="n">
        <x:v>25</x:v>
      </x:c>
      <x:c r="AD29" s="51" t="str">
        <x:v>https://g.espncdn.com/s/ffldraftkit/26/NFL26_CS_PPR300.pdf?adddata=2026CS_PPR300</x:v>
      </x:c>
      <x:c r="AE29" s="51" t="str">
        <x:v>https://fantasyfootballcalculator.com/adp/ppr/8-team/all</x:v>
      </x:c>
      <x:c r="AF29" s="51" t="str">
        <x:v>https://www.rotowire.com/football/article/2026-fantasy-football-rankings-ppr-preseason-week-2-update-129449</x:v>
      </x:c>
      <x:c r="AG29" s="47" t="str">
        <x:f>IF(COUNTIFS('Live Draft'!$D$6:$D$133,8,'Live Draft'!$E$6:$E$133,A29)&gt;0,"My Team",IF(COUNTIF('Live Draft'!$E$6:$E$133,A29)&gt;0,"Other Team","Available"))</x:f>
        <x:v>Available</x:v>
      </x:c>
      <x:c r="AH29" s="52" t="n">
        <x:v>46261</x:v>
      </x:c>
    </x:row>
    <x:row r="30" ht="44" hidden="0" customHeight="1">
      <x:c r="A30" s="46" t="str">
        <x:v>Nico Collins</x:v>
      </x:c>
      <x:c r="B30" s="47" t="str">
        <x:v>WR</x:v>
      </x:c>
      <x:c r="C30" s="47" t="str">
        <x:v>HOU</x:v>
      </x:c>
      <x:c r="D30" s="48" t="n">
        <x:v>8</x:v>
      </x:c>
      <x:c r="E30" s="48" t="n">
        <x:v>25</x:v>
      </x:c>
      <x:c r="F30" s="48" t="n">
        <x:v>24</x:v>
      </x:c>
      <x:c r="G30" s="48" t="n">
        <x:v>21</x:v>
      </x:c>
      <x:c r="H30" s="48" t="n">
        <x:v>1</x:v>
      </x:c>
      <x:c r="I30" s="48" t="n">
        <x:v>-3</x:v>
      </x:c>
      <x:c r="J30" s="48" t="n">
        <x:v>3</x:v>
      </x:c>
      <x:c r="K30" s="48" t="n">
        <x:v>24</x:v>
      </x:c>
      <x:c r="L30" s="48" t="str">
        <x:v>Build</x:v>
      </x:c>
      <x:c r="M30" s="48" t="str">
        <x:v>Target + spike weeks</x:v>
      </x:c>
      <x:c r="N30" s="48" t="n">
        <x:v>8</x:v>
      </x:c>
      <x:c r="O30" s="48" t="n">
        <x:v>9</x:v>
      </x:c>
      <x:c r="P30" s="48" t="n">
        <x:v>8</x:v>
      </x:c>
      <x:c r="Q30" s="48" t="n">
        <x:v>8</x:v>
      </x:c>
      <x:c r="R30" s="48" t="n">
        <x:v>3</x:v>
      </x:c>
      <x:c r="S30" s="49" t="n">
        <x:f>ROUND(N30*VLOOKUP(L30,'Assumptions'!$A$16:$C$19,2,FALSE)+O30*VLOOKUP(L30,'Assumptions'!$A$16:$C$19,3,FALSE)+(P30-5)*0.10+(Q30-5)*0.08+(I30/10)*0.25-(R30-5)*0.10,1)</x:f>
        <x:v>9.2</x:v>
      </x:c>
      <x:c r="T30" s="47" t="str">
        <x:f>IF(U30&lt;&gt;"Use Model",U30,IF(S30&gt;=8.5,"Priority",IF(S30&gt;=7.6,"Target",IF(S30&gt;=6.8,"Watch","Neutral"))))</x:f>
        <x:v>Target</x:v>
      </x:c>
      <x:c r="U30" s="50" t="str">
        <x:v>Target</x:v>
      </x:c>
      <x:c r="V30" s="51" t="str"/>
      <x:c r="W30" s="51" t="str">
        <x:v>Strong Round 3 WR anchor with a better expert rank than ESPN price.</x:v>
      </x:c>
      <x:c r="X30" s="51" t="str">
        <x:v>Team target competition can create more weekly variance than the Round 1 receivers.</x:v>
      </x:c>
      <x:c r="Y30" s="51" t="str">
        <x:v>A.J. Brown; George Pickens; Chris Olave</x:v>
      </x:c>
      <x:c r="Z30" s="51" t="str">
        <x:v>Pair with RB scarcity or premium QB/TE leverage.</x:v>
      </x:c>
      <x:c r="AA30" s="51" t="n">
        <x:v>9</x:v>
      </x:c>
      <x:c r="AB30" s="51" t="n">
        <x:v>24</x:v>
      </x:c>
      <x:c r="AC30" s="51" t="n">
        <x:v>25</x:v>
      </x:c>
      <x:c r="AD30" s="51" t="str">
        <x:v>https://g.espncdn.com/s/ffldraftkit/26/NFL26_CS_PPR300.pdf?adddata=2026CS_PPR300</x:v>
      </x:c>
      <x:c r="AE30" s="51" t="str">
        <x:v>https://fantasyfootballcalculator.com/adp/ppr/8-team/all</x:v>
      </x:c>
      <x:c r="AF30" s="51" t="str">
        <x:v>https://www.rotowire.com/football/article/2026-fantasy-football-rankings-ppr-preseason-week-2-update-129449</x:v>
      </x:c>
      <x:c r="AG30" s="47" t="str">
        <x:f>IF(COUNTIFS('Live Draft'!$D$6:$D$133,8,'Live Draft'!$E$6:$E$133,A30)&gt;0,"My Team",IF(COUNTIF('Live Draft'!$E$6:$E$133,A30)&gt;0,"Other Team","Available"))</x:f>
        <x:v>Available</x:v>
      </x:c>
      <x:c r="AH30" s="52" t="n">
        <x:v>46261</x:v>
      </x:c>
    </x:row>
    <x:row r="31" ht="44" hidden="0" customHeight="1">
      <x:c r="A31" s="46" t="str">
        <x:v>Chris Olave</x:v>
      </x:c>
      <x:c r="B31" s="47" t="str">
        <x:v>WR</x:v>
      </x:c>
      <x:c r="C31" s="47" t="str">
        <x:v>NO</x:v>
      </x:c>
      <x:c r="D31" s="48" t="n">
        <x:v>8</x:v>
      </x:c>
      <x:c r="E31" s="48" t="n">
        <x:v>26</x:v>
      </x:c>
      <x:c r="F31" s="48" t="n">
        <x:v>23</x:v>
      </x:c>
      <x:c r="G31" s="48" t="n">
        <x:v>20</x:v>
      </x:c>
      <x:c r="H31" s="48" t="n">
        <x:v>3</x:v>
      </x:c>
      <x:c r="I31" s="48" t="n">
        <x:v>-3</x:v>
      </x:c>
      <x:c r="J31" s="48" t="n">
        <x:v>3</x:v>
      </x:c>
      <x:c r="K31" s="48" t="n">
        <x:v>24</x:v>
      </x:c>
      <x:c r="L31" s="48" t="str">
        <x:v>Build</x:v>
      </x:c>
      <x:c r="M31" s="48" t="str">
        <x:v>Target + spike weeks</x:v>
      </x:c>
      <x:c r="N31" s="48" t="n">
        <x:v>8</x:v>
      </x:c>
      <x:c r="O31" s="48" t="n">
        <x:v>9</x:v>
      </x:c>
      <x:c r="P31" s="48" t="n">
        <x:v>8</x:v>
      </x:c>
      <x:c r="Q31" s="48" t="n">
        <x:v>8</x:v>
      </x:c>
      <x:c r="R31" s="48" t="n">
        <x:v>3</x:v>
      </x:c>
      <x:c r="S31" s="49" t="n">
        <x:f>ROUND(N31*VLOOKUP(L31,'Assumptions'!$A$16:$C$19,2,FALSE)+O31*VLOOKUP(L31,'Assumptions'!$A$16:$C$19,3,FALSE)+(P31-5)*0.10+(Q31-5)*0.08+(I31/10)*0.25-(R31-5)*0.10,1)</x:f>
        <x:v>9.2</x:v>
      </x:c>
      <x:c r="T31" s="47" t="str">
        <x:f>IF(U31&lt;&gt;"Use Model",U31,IF(S31&gt;=8.5,"Priority",IF(S31&gt;=7.6,"Target",IF(S31&gt;=6.8,"Watch","Neutral"))))</x:f>
        <x:v>Priority</x:v>
      </x:c>
      <x:c r="U31" s="50" t="str">
        <x:v>Use Model</x:v>
      </x:c>
      <x:c r="V31" s="51" t="str"/>
      <x:c r="W31" s="51" t="str">
        <x:v>Adds startable target volume and spike-week potential without requiring a rigid positional build.</x:v>
      </x:c>
      <x:c r="X31" s="51" t="str">
        <x:v>The player can be useful without separating enough from readily available waiver-wire alternatives.</x:v>
      </x:c>
      <x:c r="Y31" s="51" t="str">
        <x:v>Use the Turn Board to select the highest remaining player in the same position/value tier.</x:v>
      </x:c>
      <x:c r="Z31" s="51" t="str">
        <x:v>Pair with RB scarcity or premium QB/TE leverage.</x:v>
      </x:c>
      <x:c r="AA31" s="51" t="n">
        <x:v>9</x:v>
      </x:c>
      <x:c r="AB31" s="51" t="n">
        <x:v>24</x:v>
      </x:c>
      <x:c r="AC31" s="51" t="n">
        <x:v>25</x:v>
      </x:c>
      <x:c r="AD31" s="51" t="str">
        <x:v>https://g.espncdn.com/s/ffldraftkit/26/NFL26_CS_PPR300.pdf?adddata=2026CS_PPR300</x:v>
      </x:c>
      <x:c r="AE31" s="51" t="str">
        <x:v>https://fantasyfootballcalculator.com/adp/ppr/8-team/all</x:v>
      </x:c>
      <x:c r="AF31" s="51" t="str">
        <x:v>https://www.rotowire.com/football/article/2026-fantasy-football-rankings-ppr-preseason-week-2-update-129449</x:v>
      </x:c>
      <x:c r="AG31" s="47" t="str">
        <x:f>IF(COUNTIFS('Live Draft'!$D$6:$D$133,8,'Live Draft'!$E$6:$E$133,A31)&gt;0,"My Team",IF(COUNTIF('Live Draft'!$E$6:$E$133,A31)&gt;0,"Other Team","Available"))</x:f>
        <x:v>Available</x:v>
      </x:c>
      <x:c r="AH31" s="52" t="n">
        <x:v>46261</x:v>
      </x:c>
    </x:row>
    <x:row r="32" ht="44" hidden="0" customHeight="1">
      <x:c r="A32" s="46" t="str">
        <x:v>Garrett Wilson</x:v>
      </x:c>
      <x:c r="B32" s="47" t="str">
        <x:v>WR</x:v>
      </x:c>
      <x:c r="C32" s="47" t="str">
        <x:v>NYJ</x:v>
      </x:c>
      <x:c r="D32" s="48" t="n">
        <x:v>13</x:v>
      </x:c>
      <x:c r="E32" s="48" t="n">
        <x:v>27</x:v>
      </x:c>
      <x:c r="F32" s="48" t="n">
        <x:v>38</x:v>
      </x:c>
      <x:c r="G32" s="48" t="n">
        <x:v>25</x:v>
      </x:c>
      <x:c r="H32" s="48" t="n">
        <x:v>-11</x:v>
      </x:c>
      <x:c r="I32" s="48" t="n">
        <x:v>-13</x:v>
      </x:c>
      <x:c r="J32" s="48" t="n">
        <x:v>5</x:v>
      </x:c>
      <x:c r="K32" s="48" t="n">
        <x:v>40</x:v>
      </x:c>
      <x:c r="L32" s="48" t="str">
        <x:v>Build</x:v>
      </x:c>
      <x:c r="M32" s="48" t="str">
        <x:v>Target + spike weeks</x:v>
      </x:c>
      <x:c r="N32" s="48" t="n">
        <x:v>7</x:v>
      </x:c>
      <x:c r="O32" s="48" t="n">
        <x:v>8</x:v>
      </x:c>
      <x:c r="P32" s="48" t="n">
        <x:v>7</x:v>
      </x:c>
      <x:c r="Q32" s="48" t="n">
        <x:v>7</x:v>
      </x:c>
      <x:c r="R32" s="48" t="n">
        <x:v>3</x:v>
      </x:c>
      <x:c r="S32" s="49" t="n">
        <x:f>ROUND(N32*VLOOKUP(L32,'Assumptions'!$A$16:$C$19,2,FALSE)+O32*VLOOKUP(L32,'Assumptions'!$A$16:$C$19,3,FALSE)+(P32-5)*0.10+(Q32-5)*0.08+(I32/10)*0.25-(R32-5)*0.10,1)</x:f>
        <x:v>7.8</x:v>
      </x:c>
      <x:c r="T32" s="47" t="str">
        <x:f>IF(U32&lt;&gt;"Use Model",U32,IF(S32&gt;=8.5,"Priority",IF(S32&gt;=7.6,"Target",IF(S32&gt;=6.8,"Watch","Neutral"))))</x:f>
        <x:v>Target</x:v>
      </x:c>
      <x:c r="U32" s="50" t="str">
        <x:v>Use Model</x:v>
      </x:c>
      <x:c r="V32" s="51" t="str"/>
      <x:c r="W32" s="51" t="str">
        <x:v>Adds startable target volume and spike-week potential without requiring a rigid positional build.</x:v>
      </x:c>
      <x:c r="X32" s="51" t="str">
        <x:v>The player can be useful without separating enough from readily available waiver-wire alternatives.</x:v>
      </x:c>
      <x:c r="Y32" s="51" t="str">
        <x:v>Use the Turn Board to select the highest remaining player in the same position/value tier.</x:v>
      </x:c>
      <x:c r="Z32" s="51" t="str">
        <x:v>Pair with RB scarcity or premium QB/TE leverage.</x:v>
      </x:c>
      <x:c r="AA32" s="51" t="n">
        <x:v>25</x:v>
      </x:c>
      <x:c r="AB32" s="51" t="n">
        <x:v>40</x:v>
      </x:c>
      <x:c r="AC32" s="51" t="n">
        <x:v>41</x:v>
      </x:c>
      <x:c r="AD32" s="51" t="str">
        <x:v>https://g.espncdn.com/s/ffldraftkit/26/NFL26_CS_PPR300.pdf?adddata=2026CS_PPR300</x:v>
      </x:c>
      <x:c r="AE32" s="51" t="str">
        <x:v>https://fantasyfootballcalculator.com/adp/ppr/8-team/all</x:v>
      </x:c>
      <x:c r="AF32" s="51" t="str">
        <x:v>https://www.rotowire.com/football/article/2026-fantasy-football-rankings-ppr-preseason-week-2-update-129449</x:v>
      </x:c>
      <x:c r="AG32" s="47" t="str">
        <x:f>IF(COUNTIFS('Live Draft'!$D$6:$D$133,8,'Live Draft'!$E$6:$E$133,A32)&gt;0,"My Team",IF(COUNTIF('Live Draft'!$E$6:$E$133,A32)&gt;0,"Other Team","Available"))</x:f>
        <x:v>Available</x:v>
      </x:c>
      <x:c r="AH32" s="52" t="n">
        <x:v>46261</x:v>
      </x:c>
    </x:row>
    <x:row r="33" ht="44" hidden="0" customHeight="1">
      <x:c r="A33" s="46" t="str">
        <x:v>A.J. Brown</x:v>
      </x:c>
      <x:c r="B33" s="47" t="str">
        <x:v>WR</x:v>
      </x:c>
      <x:c r="C33" s="47" t="str">
        <x:v>NE</x:v>
      </x:c>
      <x:c r="D33" s="48" t="n">
        <x:v>11</x:v>
      </x:c>
      <x:c r="E33" s="48" t="n">
        <x:v>28</x:v>
      </x:c>
      <x:c r="F33" s="48" t="n">
        <x:v>16</x:v>
      </x:c>
      <x:c r="G33" s="48" t="n">
        <x:v>17</x:v>
      </x:c>
      <x:c r="H33" s="48" t="n">
        <x:v>12</x:v>
      </x:c>
      <x:c r="I33" s="48" t="n">
        <x:v>1</x:v>
      </x:c>
      <x:c r="J33" s="48" t="n">
        <x:v>3</x:v>
      </x:c>
      <x:c r="K33" s="48" t="n">
        <x:v>24</x:v>
      </x:c>
      <x:c r="L33" s="48" t="str">
        <x:v>Build</x:v>
      </x:c>
      <x:c r="M33" s="48" t="str">
        <x:v>Target + spike weeks</x:v>
      </x:c>
      <x:c r="N33" s="48" t="n">
        <x:v>8</x:v>
      </x:c>
      <x:c r="O33" s="48" t="n">
        <x:v>9</x:v>
      </x:c>
      <x:c r="P33" s="48" t="n">
        <x:v>8</x:v>
      </x:c>
      <x:c r="Q33" s="48" t="n">
        <x:v>8</x:v>
      </x:c>
      <x:c r="R33" s="48" t="n">
        <x:v>3</x:v>
      </x:c>
      <x:c r="S33" s="49" t="n">
        <x:f>ROUND(N33*VLOOKUP(L33,'Assumptions'!$A$16:$C$19,2,FALSE)+O33*VLOOKUP(L33,'Assumptions'!$A$16:$C$19,3,FALSE)+(P33-5)*0.10+(Q33-5)*0.08+(I33/10)*0.25-(R33-5)*0.10,1)</x:f>
        <x:v>9.3</x:v>
      </x:c>
      <x:c r="T33" s="47" t="str">
        <x:f>IF(U33&lt;&gt;"Use Model",U33,IF(S33&gt;=8.5,"Priority",IF(S33&gt;=7.6,"Target",IF(S33&gt;=6.8,"Watch","Neutral"))))</x:f>
        <x:v>Priority</x:v>
      </x:c>
      <x:c r="U33" s="50" t="str">
        <x:v>Priority</x:v>
      </x:c>
      <x:c r="V33" s="51" t="str"/>
      <x:c r="W33" s="51" t="str">
        <x:v>One of ESPN's best early discounts: expert model and market both value him well ahead of ESPN rank 28.</x:v>
      </x:c>
      <x:c r="X33" s="51" t="str">
        <x:v>New-team role introduces some target-distribution uncertainty.</x:v>
      </x:c>
      <x:c r="Y33" s="51" t="str">
        <x:v>Nico Collins; George Pickens; Malik Nabers</x:v>
      </x:c>
      <x:c r="Z33" s="51" t="str">
        <x:v>Pair with RB scarcity or premium QB/TE leverage.</x:v>
      </x:c>
      <x:c r="AA33" s="51" t="n">
        <x:v>9</x:v>
      </x:c>
      <x:c r="AB33" s="51" t="n">
        <x:v>24</x:v>
      </x:c>
      <x:c r="AC33" s="51" t="n">
        <x:v>25</x:v>
      </x:c>
      <x:c r="AD33" s="51" t="str">
        <x:v>https://g.espncdn.com/s/ffldraftkit/26/NFL26_CS_PPR300.pdf?adddata=2026CS_PPR300</x:v>
      </x:c>
      <x:c r="AE33" s="51" t="str">
        <x:v>https://fantasyfootballcalculator.com/adp/ppr/8-team/all</x:v>
      </x:c>
      <x:c r="AF33" s="51" t="str">
        <x:v>https://www.rotowire.com/football/article/2026-fantasy-football-rankings-ppr-preseason-week-2-update-129449</x:v>
      </x:c>
      <x:c r="AG33" s="47" t="str">
        <x:f>IF(COUNTIFS('Live Draft'!$D$6:$D$133,8,'Live Draft'!$E$6:$E$133,A33)&gt;0,"My Team",IF(COUNTIF('Live Draft'!$E$6:$E$133,A33)&gt;0,"Other Team","Available"))</x:f>
        <x:v>Available</x:v>
      </x:c>
      <x:c r="AH33" s="52" t="n">
        <x:v>46261</x:v>
      </x:c>
    </x:row>
    <x:row r="34" ht="44" hidden="0" customHeight="1">
      <x:c r="A34" s="46" t="str">
        <x:v>Malik Nabers</x:v>
      </x:c>
      <x:c r="B34" s="47" t="str">
        <x:v>WR</x:v>
      </x:c>
      <x:c r="C34" s="47" t="str">
        <x:v>NYG</x:v>
      </x:c>
      <x:c r="D34" s="48" t="n">
        <x:v>8</x:v>
      </x:c>
      <x:c r="E34" s="48" t="n">
        <x:v>29</x:v>
      </x:c>
      <x:c r="F34" s="48" t="n">
        <x:v>25</x:v>
      </x:c>
      <x:c r="G34" s="48" t="n">
        <x:v>27</x:v>
      </x:c>
      <x:c r="H34" s="48" t="n">
        <x:v>4</x:v>
      </x:c>
      <x:c r="I34" s="48" t="n">
        <x:v>2</x:v>
      </x:c>
      <x:c r="J34" s="48" t="n">
        <x:v>4</x:v>
      </x:c>
      <x:c r="K34" s="48" t="n">
        <x:v>25</x:v>
      </x:c>
      <x:c r="L34" s="48" t="str">
        <x:v>Build</x:v>
      </x:c>
      <x:c r="M34" s="48" t="str">
        <x:v>Ceiling receiver</x:v>
      </x:c>
      <x:c r="N34" s="48" t="n">
        <x:v>7</x:v>
      </x:c>
      <x:c r="O34" s="48" t="n">
        <x:v>10</x:v>
      </x:c>
      <x:c r="P34" s="48" t="n">
        <x:v>8</x:v>
      </x:c>
      <x:c r="Q34" s="48" t="n">
        <x:v>8</x:v>
      </x:c>
      <x:c r="R34" s="48" t="n">
        <x:v>3</x:v>
      </x:c>
      <x:c r="S34" s="49" t="n">
        <x:f>ROUND(N34*VLOOKUP(L34,'Assumptions'!$A$16:$C$19,2,FALSE)+O34*VLOOKUP(L34,'Assumptions'!$A$16:$C$19,3,FALSE)+(P34-5)*0.10+(Q34-5)*0.08+(I34/10)*0.25-(R34-5)*0.10,1)</x:f>
        <x:v>9.4</x:v>
      </x:c>
      <x:c r="T34" s="47" t="str">
        <x:f>IF(U34&lt;&gt;"Use Model",U34,IF(S34&gt;=8.5,"Priority",IF(S34&gt;=7.6,"Target",IF(S34&gt;=6.8,"Watch","Neutral"))))</x:f>
        <x:v>Target</x:v>
      </x:c>
      <x:c r="U34" s="50" t="str">
        <x:v>Target</x:v>
      </x:c>
      <x:c r="V34" s="51" t="str"/>
      <x:c r="W34" s="51" t="str">
        <x:v>A perfect complement to a safe opening turn: volatile environment, elite individual ceiling.</x:v>
      </x:c>
      <x:c r="X34" s="51" t="str">
        <x:v>Quarterback and team context can create lower-efficiency weeks.</x:v>
      </x:c>
      <x:c r="Y34" s="51" t="str">
        <x:v>George Pickens; Chris Olave; Zay Flowers</x:v>
      </x:c>
      <x:c r="Z34" s="51" t="str">
        <x:v>Pair with RB scarcity or premium QB/TE leverage.</x:v>
      </x:c>
      <x:c r="AA34" s="51" t="n">
        <x:v>24</x:v>
      </x:c>
      <x:c r="AB34" s="51" t="n">
        <x:v>25</x:v>
      </x:c>
      <x:c r="AC34" s="51" t="n">
        <x:v>40</x:v>
      </x:c>
      <x:c r="AD34" s="51" t="str">
        <x:v>https://g.espncdn.com/s/ffldraftkit/26/NFL26_CS_PPR300.pdf?adddata=2026CS_PPR300</x:v>
      </x:c>
      <x:c r="AE34" s="51" t="str">
        <x:v>https://fantasyfootballcalculator.com/adp/ppr/8-team/all</x:v>
      </x:c>
      <x:c r="AF34" s="51" t="str">
        <x:v>https://www.rotowire.com/football/article/2026-fantasy-football-rankings-ppr-preseason-week-2-update-129449</x:v>
      </x:c>
      <x:c r="AG34" s="47" t="str">
        <x:f>IF(COUNTIFS('Live Draft'!$D$6:$D$133,8,'Live Draft'!$E$6:$E$133,A34)&gt;0,"My Team",IF(COUNTIF('Live Draft'!$E$6:$E$133,A34)&gt;0,"Other Team","Available"))</x:f>
        <x:v>Available</x:v>
      </x:c>
      <x:c r="AH34" s="52" t="n">
        <x:v>46261</x:v>
      </x:c>
    </x:row>
    <x:row r="35" ht="44" hidden="0" customHeight="1">
      <x:c r="A35" s="46" t="str">
        <x:v>Josh Jacobs</x:v>
      </x:c>
      <x:c r="B35" s="47" t="str">
        <x:v>RB</x:v>
      </x:c>
      <x:c r="C35" s="47" t="str">
        <x:v>GB</x:v>
      </x:c>
      <x:c r="D35" s="48" t="n">
        <x:v>11</x:v>
      </x:c>
      <x:c r="E35" s="48" t="n">
        <x:v>30</x:v>
      </x:c>
      <x:c r="F35" s="48" t="n">
        <x:v>42</x:v>
      </x:c>
      <x:c r="G35" s="48" t="n">
        <x:v>31</x:v>
      </x:c>
      <x:c r="H35" s="48" t="n">
        <x:v>-12</x:v>
      </x:c>
      <x:c r="I35" s="48" t="n">
        <x:v>-11</x:v>
      </x:c>
      <x:c r="J35" s="48" t="n">
        <x:v>5</x:v>
      </x:c>
      <x:c r="K35" s="48" t="n">
        <x:v>40</x:v>
      </x:c>
      <x:c r="L35" s="48" t="str">
        <x:v>Build</x:v>
      </x:c>
      <x:c r="M35" s="48" t="str">
        <x:v>Volume + contingency</x:v>
      </x:c>
      <x:c r="N35" s="48" t="n">
        <x:v>7</x:v>
      </x:c>
      <x:c r="O35" s="48" t="n">
        <x:v>8</x:v>
      </x:c>
      <x:c r="P35" s="48" t="n">
        <x:v>7</x:v>
      </x:c>
      <x:c r="Q35" s="48" t="n">
        <x:v>7</x:v>
      </x:c>
      <x:c r="R35" s="48" t="n">
        <x:v>3</x:v>
      </x:c>
      <x:c r="S35" s="49" t="n">
        <x:f>ROUND(N35*VLOOKUP(L35,'Assumptions'!$A$16:$C$19,2,FALSE)+O35*VLOOKUP(L35,'Assumptions'!$A$16:$C$19,3,FALSE)+(P35-5)*0.10+(Q35-5)*0.08+(I35/10)*0.25-(R35-5)*0.10,1)</x:f>
        <x:v>7.8</x:v>
      </x:c>
      <x:c r="T35" s="47" t="str">
        <x:f>IF(U35&lt;&gt;"Use Model",U35,IF(S35&gt;=8.5,"Priority",IF(S35&gt;=7.6,"Target",IF(S35&gt;=6.8,"Watch","Neutral"))))</x:f>
        <x:v>Target</x:v>
      </x:c>
      <x:c r="U35" s="50" t="str">
        <x:v>Use Model</x:v>
      </x:c>
      <x:c r="V35" s="51" t="str"/>
      <x:c r="W35" s="51" t="str">
        <x:v>Fits the two-FLEX build by adding either bankable touches or contingent workload at the correct price.</x:v>
      </x:c>
      <x:c r="X35" s="51" t="str">
        <x:v>The player can be useful without separating enough from readily available waiver-wire alternatives.</x:v>
      </x:c>
      <x:c r="Y35" s="51" t="str">
        <x:v>Use the Turn Board to select the highest remaining player in the same position/value tier.</x:v>
      </x:c>
      <x:c r="Z35" s="51" t="str">
        <x:v>Pair with a WR at the same turn unless he is a clear faller.</x:v>
      </x:c>
      <x:c r="AA35" s="51" t="n">
        <x:v>25</x:v>
      </x:c>
      <x:c r="AB35" s="51" t="n">
        <x:v>40</x:v>
      </x:c>
      <x:c r="AC35" s="51" t="n">
        <x:v>41</x:v>
      </x:c>
      <x:c r="AD35" s="51" t="str">
        <x:v>https://g.espncdn.com/s/ffldraftkit/26/NFL26_CS_PPR300.pdf?adddata=2026CS_PPR300</x:v>
      </x:c>
      <x:c r="AE35" s="51" t="str">
        <x:v>https://fantasyfootballcalculator.com/adp/ppr/8-team/all</x:v>
      </x:c>
      <x:c r="AF35" s="51" t="str">
        <x:v>https://www.rotowire.com/football/article/2026-fantasy-football-rankings-ppr-preseason-week-2-update-129449</x:v>
      </x:c>
      <x:c r="AG35" s="47" t="str">
        <x:f>IF(COUNTIFS('Live Draft'!$D$6:$D$133,8,'Live Draft'!$E$6:$E$133,A35)&gt;0,"My Team",IF(COUNTIF('Live Draft'!$E$6:$E$133,A35)&gt;0,"Other Team","Available"))</x:f>
        <x:v>Available</x:v>
      </x:c>
      <x:c r="AH35" s="52" t="n">
        <x:v>46261</x:v>
      </x:c>
    </x:row>
    <x:row r="36" ht="44" hidden="0" customHeight="1">
      <x:c r="A36" s="46" t="str">
        <x:v>Javonte Williams</x:v>
      </x:c>
      <x:c r="B36" s="47" t="str">
        <x:v>RB</x:v>
      </x:c>
      <x:c r="C36" s="47" t="str">
        <x:v>DAL</x:v>
      </x:c>
      <x:c r="D36" s="48" t="n">
        <x:v>14</x:v>
      </x:c>
      <x:c r="E36" s="48" t="n">
        <x:v>31</x:v>
      </x:c>
      <x:c r="F36" s="48" t="n">
        <x:v>33</x:v>
      </x:c>
      <x:c r="G36" s="48" t="n">
        <x:v>39</x:v>
      </x:c>
      <x:c r="H36" s="48" t="n">
        <x:v>-2</x:v>
      </x:c>
      <x:c r="I36" s="48" t="n">
        <x:v>6</x:v>
      </x:c>
      <x:c r="J36" s="48" t="n">
        <x:v>5</x:v>
      </x:c>
      <x:c r="K36" s="48" t="n">
        <x:v>40</x:v>
      </x:c>
      <x:c r="L36" s="48" t="str">
        <x:v>Build</x:v>
      </x:c>
      <x:c r="M36" s="48" t="str">
        <x:v>Volume + contingency</x:v>
      </x:c>
      <x:c r="N36" s="48" t="n">
        <x:v>7</x:v>
      </x:c>
      <x:c r="O36" s="48" t="n">
        <x:v>8</x:v>
      </x:c>
      <x:c r="P36" s="48" t="n">
        <x:v>7</x:v>
      </x:c>
      <x:c r="Q36" s="48" t="n">
        <x:v>7</x:v>
      </x:c>
      <x:c r="R36" s="48" t="n">
        <x:v>3</x:v>
      </x:c>
      <x:c r="S36" s="49" t="n">
        <x:f>ROUND(N36*VLOOKUP(L36,'Assumptions'!$A$16:$C$19,2,FALSE)+O36*VLOOKUP(L36,'Assumptions'!$A$16:$C$19,3,FALSE)+(P36-5)*0.10+(Q36-5)*0.08+(I36/10)*0.25-(R36-5)*0.10,1)</x:f>
        <x:v>8.3</x:v>
      </x:c>
      <x:c r="T36" s="47" t="str">
        <x:f>IF(U36&lt;&gt;"Use Model",U36,IF(S36&gt;=8.5,"Priority",IF(S36&gt;=7.6,"Target",IF(S36&gt;=6.8,"Watch","Neutral"))))</x:f>
        <x:v>Target</x:v>
      </x:c>
      <x:c r="U36" s="50" t="str">
        <x:v>Use Model</x:v>
      </x:c>
      <x:c r="V36" s="51" t="str"/>
      <x:c r="W36" s="51" t="str">
        <x:v>Fits the two-FLEX build by adding either bankable touches or contingent workload at the correct price.</x:v>
      </x:c>
      <x:c r="X36" s="51" t="str">
        <x:v>The player can be useful without separating enough from readily available waiver-wire alternatives.</x:v>
      </x:c>
      <x:c r="Y36" s="51" t="str">
        <x:v>Use the Turn Board to select the highest remaining player in the same position/value tier.</x:v>
      </x:c>
      <x:c r="Z36" s="51" t="str">
        <x:v>Pair with a WR at the same turn unless he is a clear faller.</x:v>
      </x:c>
      <x:c r="AA36" s="51" t="n">
        <x:v>25</x:v>
      </x:c>
      <x:c r="AB36" s="51" t="n">
        <x:v>40</x:v>
      </x:c>
      <x:c r="AC36" s="51" t="n">
        <x:v>41</x:v>
      </x:c>
      <x:c r="AD36" s="51" t="str">
        <x:v>https://g.espncdn.com/s/ffldraftkit/26/NFL26_CS_PPR300.pdf?adddata=2026CS_PPR300</x:v>
      </x:c>
      <x:c r="AE36" s="51" t="str">
        <x:v>https://fantasyfootballcalculator.com/adp/ppr/8-team/all</x:v>
      </x:c>
      <x:c r="AF36" s="51" t="str">
        <x:v>https://www.rotowire.com/football/article/2026-fantasy-football-rankings-ppr-preseason-week-2-update-129449</x:v>
      </x:c>
      <x:c r="AG36" s="47" t="str">
        <x:f>IF(COUNTIFS('Live Draft'!$D$6:$D$133,8,'Live Draft'!$E$6:$E$133,A36)&gt;0,"My Team",IF(COUNTIF('Live Draft'!$E$6:$E$133,A36)&gt;0,"Other Team","Available"))</x:f>
        <x:v>Available</x:v>
      </x:c>
      <x:c r="AH36" s="52" t="n">
        <x:v>46261</x:v>
      </x:c>
    </x:row>
    <x:row r="37" ht="44" hidden="0" customHeight="1">
      <x:c r="A37" s="46" t="str">
        <x:v>George Pickens</x:v>
      </x:c>
      <x:c r="B37" s="47" t="str">
        <x:v>WR</x:v>
      </x:c>
      <x:c r="C37" s="47" t="str">
        <x:v>DAL</x:v>
      </x:c>
      <x:c r="D37" s="48" t="n">
        <x:v>14</x:v>
      </x:c>
      <x:c r="E37" s="48" t="n">
        <x:v>32</x:v>
      </x:c>
      <x:c r="F37" s="48" t="n">
        <x:v>22</x:v>
      </x:c>
      <x:c r="G37" s="48" t="n">
        <x:v>22</x:v>
      </x:c>
      <x:c r="H37" s="48" t="n">
        <x:v>10</x:v>
      </x:c>
      <x:c r="I37" s="48" t="n">
        <x:v>0</x:v>
      </x:c>
      <x:c r="J37" s="48" t="n">
        <x:v>4</x:v>
      </x:c>
      <x:c r="K37" s="48" t="n">
        <x:v>25</x:v>
      </x:c>
      <x:c r="L37" s="48" t="str">
        <x:v>Build</x:v>
      </x:c>
      <x:c r="M37" s="48" t="str">
        <x:v>Target + spike weeks</x:v>
      </x:c>
      <x:c r="N37" s="48" t="n">
        <x:v>7</x:v>
      </x:c>
      <x:c r="O37" s="48" t="n">
        <x:v>9</x:v>
      </x:c>
      <x:c r="P37" s="48" t="n">
        <x:v>8</x:v>
      </x:c>
      <x:c r="Q37" s="48" t="n">
        <x:v>8</x:v>
      </x:c>
      <x:c r="R37" s="48" t="n">
        <x:v>3</x:v>
      </x:c>
      <x:c r="S37" s="49" t="n">
        <x:f>ROUND(N37*VLOOKUP(L37,'Assumptions'!$A$16:$C$19,2,FALSE)+O37*VLOOKUP(L37,'Assumptions'!$A$16:$C$19,3,FALSE)+(P37-5)*0.10+(Q37-5)*0.08+(I37/10)*0.25-(R37-5)*0.10,1)</x:f>
        <x:v>8.8</x:v>
      </x:c>
      <x:c r="T37" s="47" t="str">
        <x:f>IF(U37&lt;&gt;"Use Model",U37,IF(S37&gt;=8.5,"Priority",IF(S37&gt;=7.6,"Target",IF(S37&gt;=6.8,"Watch","Neutral"))))</x:f>
        <x:v>Target</x:v>
      </x:c>
      <x:c r="U37" s="50" t="str">
        <x:v>Target</x:v>
      </x:c>
      <x:c r="V37" s="51" t="str"/>
      <x:c r="W37" s="51" t="str">
        <x:v>Market and model both place him ahead of ESPN rank; ideal aggressive WR2 around the 3/4 turn.</x:v>
      </x:c>
      <x:c r="X37" s="51" t="str">
        <x:v>Volatile weekly target shape and shared offense with CeeDee can lower the floor.</x:v>
      </x:c>
      <x:c r="Y37" s="51" t="str">
        <x:v>Nico Collins; Malik Nabers; Chris Olave</x:v>
      </x:c>
      <x:c r="Z37" s="51" t="str">
        <x:v>Pair with RB scarcity or premium QB/TE leverage.</x:v>
      </x:c>
      <x:c r="AA37" s="51" t="n">
        <x:v>24</x:v>
      </x:c>
      <x:c r="AB37" s="51" t="n">
        <x:v>25</x:v>
      </x:c>
      <x:c r="AC37" s="51" t="n">
        <x:v>40</x:v>
      </x:c>
      <x:c r="AD37" s="51" t="str">
        <x:v>https://g.espncdn.com/s/ffldraftkit/26/NFL26_CS_PPR300.pdf?adddata=2026CS_PPR300</x:v>
      </x:c>
      <x:c r="AE37" s="51" t="str">
        <x:v>https://fantasyfootballcalculator.com/adp/ppr/8-team/all</x:v>
      </x:c>
      <x:c r="AF37" s="51" t="str">
        <x:v>https://www.rotowire.com/football/article/2026-fantasy-football-rankings-ppr-preseason-week-2-update-129449</x:v>
      </x:c>
      <x:c r="AG37" s="47" t="str">
        <x:f>IF(COUNTIFS('Live Draft'!$D$6:$D$133,8,'Live Draft'!$E$6:$E$133,A37)&gt;0,"My Team",IF(COUNTIF('Live Draft'!$E$6:$E$133,A37)&gt;0,"Other Team","Available"))</x:f>
        <x:v>Available</x:v>
      </x:c>
      <x:c r="AH37" s="52" t="n">
        <x:v>46261</x:v>
      </x:c>
    </x:row>
    <x:row r="38" ht="44" hidden="0" customHeight="1">
      <x:c r="A38" s="46" t="str">
        <x:v>Tetairoa McMillan</x:v>
      </x:c>
      <x:c r="B38" s="47" t="str">
        <x:v>WR</x:v>
      </x:c>
      <x:c r="C38" s="47" t="str">
        <x:v>CAR</x:v>
      </x:c>
      <x:c r="D38" s="48" t="n">
        <x:v>5</x:v>
      </x:c>
      <x:c r="E38" s="48" t="n">
        <x:v>33</x:v>
      </x:c>
      <x:c r="F38" s="48" t="n">
        <x:v>40</x:v>
      </x:c>
      <x:c r="G38" s="48" t="n">
        <x:v>32</x:v>
      </x:c>
      <x:c r="H38" s="48" t="n">
        <x:v>-7</x:v>
      </x:c>
      <x:c r="I38" s="48" t="n">
        <x:v>-8</x:v>
      </x:c>
      <x:c r="J38" s="48" t="n">
        <x:v>5</x:v>
      </x:c>
      <x:c r="K38" s="48" t="n">
        <x:v>40</x:v>
      </x:c>
      <x:c r="L38" s="48" t="str">
        <x:v>Build</x:v>
      </x:c>
      <x:c r="M38" s="48" t="str">
        <x:v>Target + spike weeks</x:v>
      </x:c>
      <x:c r="N38" s="48" t="n">
        <x:v>7</x:v>
      </x:c>
      <x:c r="O38" s="48" t="n">
        <x:v>8</x:v>
      </x:c>
      <x:c r="P38" s="48" t="n">
        <x:v>7</x:v>
      </x:c>
      <x:c r="Q38" s="48" t="n">
        <x:v>7</x:v>
      </x:c>
      <x:c r="R38" s="48" t="n">
        <x:v>3</x:v>
      </x:c>
      <x:c r="S38" s="49" t="n">
        <x:f>ROUND(N38*VLOOKUP(L38,'Assumptions'!$A$16:$C$19,2,FALSE)+O38*VLOOKUP(L38,'Assumptions'!$A$16:$C$19,3,FALSE)+(P38-5)*0.10+(Q38-5)*0.08+(I38/10)*0.25-(R38-5)*0.10,1)</x:f>
        <x:v>7.9</x:v>
      </x:c>
      <x:c r="T38" s="47" t="str">
        <x:f>IF(U38&lt;&gt;"Use Model",U38,IF(S38&gt;=8.5,"Priority",IF(S38&gt;=7.6,"Target",IF(S38&gt;=6.8,"Watch","Neutral"))))</x:f>
        <x:v>Target</x:v>
      </x:c>
      <x:c r="U38" s="50" t="str">
        <x:v>Use Model</x:v>
      </x:c>
      <x:c r="V38" s="51" t="str"/>
      <x:c r="W38" s="51" t="str">
        <x:v>Adds startable target volume and spike-week potential without requiring a rigid positional build.</x:v>
      </x:c>
      <x:c r="X38" s="51" t="str">
        <x:v>The player can be useful without separating enough from readily available waiver-wire alternatives.</x:v>
      </x:c>
      <x:c r="Y38" s="51" t="str">
        <x:v>Use the Turn Board to select the highest remaining player in the same position/value tier.</x:v>
      </x:c>
      <x:c r="Z38" s="51" t="str">
        <x:v>Pair with RB scarcity or premium QB/TE leverage.</x:v>
      </x:c>
      <x:c r="AA38" s="51" t="n">
        <x:v>25</x:v>
      </x:c>
      <x:c r="AB38" s="51" t="n">
        <x:v>40</x:v>
      </x:c>
      <x:c r="AC38" s="51" t="n">
        <x:v>41</x:v>
      </x:c>
      <x:c r="AD38" s="51" t="str">
        <x:v>https://g.espncdn.com/s/ffldraftkit/26/NFL26_CS_PPR300.pdf?adddata=2026CS_PPR300</x:v>
      </x:c>
      <x:c r="AE38" s="51" t="str">
        <x:v>https://fantasyfootballcalculator.com/adp/ppr/8-team/all</x:v>
      </x:c>
      <x:c r="AF38" s="51" t="str">
        <x:v>https://www.rotowire.com/football/article/2026-fantasy-football-rankings-ppr-preseason-week-2-update-129449</x:v>
      </x:c>
      <x:c r="AG38" s="47" t="str">
        <x:f>IF(COUNTIFS('Live Draft'!$D$6:$D$133,8,'Live Draft'!$E$6:$E$133,A38)&gt;0,"My Team",IF(COUNTIF('Live Draft'!$E$6:$E$133,A38)&gt;0,"Other Team","Available"))</x:f>
        <x:v>Available</x:v>
      </x:c>
      <x:c r="AH38" s="52" t="n">
        <x:v>46261</x:v>
      </x:c>
    </x:row>
    <x:row r="39" ht="44" hidden="0" customHeight="1">
      <x:c r="A39" s="46" t="str">
        <x:v>Zay Flowers</x:v>
      </x:c>
      <x:c r="B39" s="47" t="str">
        <x:v>WR</x:v>
      </x:c>
      <x:c r="C39" s="47" t="str">
        <x:v>BAL</x:v>
      </x:c>
      <x:c r="D39" s="48" t="n">
        <x:v>13</x:v>
      </x:c>
      <x:c r="E39" s="48" t="n">
        <x:v>34</x:v>
      </x:c>
      <x:c r="F39" s="48" t="n">
        <x:v>28</x:v>
      </x:c>
      <x:c r="G39" s="48" t="n">
        <x:v>26</x:v>
      </x:c>
      <x:c r="H39" s="48" t="n">
        <x:v>6</x:v>
      </x:c>
      <x:c r="I39" s="48" t="n">
        <x:v>-2</x:v>
      </x:c>
      <x:c r="J39" s="48" t="n">
        <x:v>4</x:v>
      </x:c>
      <x:c r="K39" s="48" t="n">
        <x:v>25</x:v>
      </x:c>
      <x:c r="L39" s="48" t="str">
        <x:v>Build</x:v>
      </x:c>
      <x:c r="M39" s="48" t="str">
        <x:v>Target + spike weeks</x:v>
      </x:c>
      <x:c r="N39" s="48" t="n">
        <x:v>8</x:v>
      </x:c>
      <x:c r="O39" s="48" t="n">
        <x:v>9</x:v>
      </x:c>
      <x:c r="P39" s="48" t="n">
        <x:v>8</x:v>
      </x:c>
      <x:c r="Q39" s="48" t="n">
        <x:v>8</x:v>
      </x:c>
      <x:c r="R39" s="48" t="n">
        <x:v>3</x:v>
      </x:c>
      <x:c r="S39" s="49" t="n">
        <x:f>ROUND(N39*VLOOKUP(L39,'Assumptions'!$A$16:$C$19,2,FALSE)+O39*VLOOKUP(L39,'Assumptions'!$A$16:$C$19,3,FALSE)+(P39-5)*0.10+(Q39-5)*0.08+(I39/10)*0.25-(R39-5)*0.10,1)</x:f>
        <x:v>9.2</x:v>
      </x:c>
      <x:c r="T39" s="47" t="str">
        <x:f>IF(U39&lt;&gt;"Use Model",U39,IF(S39&gt;=8.5,"Priority",IF(S39&gt;=7.6,"Target",IF(S39&gt;=6.8,"Watch","Neutral"))))</x:f>
        <x:v>Priority</x:v>
      </x:c>
      <x:c r="U39" s="50" t="str">
        <x:v>Use Model</x:v>
      </x:c>
      <x:c r="V39" s="51" t="str"/>
      <x:c r="W39" s="51" t="str">
        <x:v>Adds startable target volume and spike-week potential without requiring a rigid positional build.</x:v>
      </x:c>
      <x:c r="X39" s="51" t="str">
        <x:v>The player can be useful without separating enough from readily available waiver-wire alternatives.</x:v>
      </x:c>
      <x:c r="Y39" s="51" t="str">
        <x:v>Use the Turn Board to select the highest remaining player in the same position/value tier.</x:v>
      </x:c>
      <x:c r="Z39" s="51" t="str">
        <x:v>Pair with RB scarcity or premium QB/TE leverage.</x:v>
      </x:c>
      <x:c r="AA39" s="51" t="n">
        <x:v>24</x:v>
      </x:c>
      <x:c r="AB39" s="51" t="n">
        <x:v>25</x:v>
      </x:c>
      <x:c r="AC39" s="51" t="n">
        <x:v>40</x:v>
      </x:c>
      <x:c r="AD39" s="51" t="str">
        <x:v>https://g.espncdn.com/s/ffldraftkit/26/NFL26_CS_PPR300.pdf?adddata=2026CS_PPR300</x:v>
      </x:c>
      <x:c r="AE39" s="51" t="str">
        <x:v>https://fantasyfootballcalculator.com/adp/ppr/8-team/all</x:v>
      </x:c>
      <x:c r="AF39" s="51" t="str">
        <x:v>https://www.rotowire.com/football/article/2026-fantasy-football-rankings-ppr-preseason-week-2-update-129449</x:v>
      </x:c>
      <x:c r="AG39" s="47" t="str">
        <x:f>IF(COUNTIFS('Live Draft'!$D$6:$D$133,8,'Live Draft'!$E$6:$E$133,A39)&gt;0,"My Team",IF(COUNTIF('Live Draft'!$E$6:$E$133,A39)&gt;0,"Other Team","Available"))</x:f>
        <x:v>Available</x:v>
      </x:c>
      <x:c r="AH39" s="52" t="n">
        <x:v>46261</x:v>
      </x:c>
    </x:row>
    <x:row r="40" ht="44" hidden="0" customHeight="1">
      <x:c r="A40" s="46" t="str">
        <x:v>DeVonta Smith</x:v>
      </x:c>
      <x:c r="B40" s="47" t="str">
        <x:v>WR</x:v>
      </x:c>
      <x:c r="C40" s="47" t="str">
        <x:v>PHI</x:v>
      </x:c>
      <x:c r="D40" s="48" t="n">
        <x:v>10</x:v>
      </x:c>
      <x:c r="E40" s="48" t="n">
        <x:v>35</x:v>
      </x:c>
      <x:c r="F40" s="48" t="n">
        <x:v>27</x:v>
      </x:c>
      <x:c r="G40" s="48" t="n">
        <x:v>30</x:v>
      </x:c>
      <x:c r="H40" s="48" t="n">
        <x:v>8</x:v>
      </x:c>
      <x:c r="I40" s="48" t="n">
        <x:v>3</x:v>
      </x:c>
      <x:c r="J40" s="48" t="n">
        <x:v>4</x:v>
      </x:c>
      <x:c r="K40" s="48" t="n">
        <x:v>25</x:v>
      </x:c>
      <x:c r="L40" s="48" t="str">
        <x:v>Build</x:v>
      </x:c>
      <x:c r="M40" s="48" t="str">
        <x:v>Target + spike weeks</x:v>
      </x:c>
      <x:c r="N40" s="48" t="n">
        <x:v>8</x:v>
      </x:c>
      <x:c r="O40" s="48" t="n">
        <x:v>9</x:v>
      </x:c>
      <x:c r="P40" s="48" t="n">
        <x:v>8</x:v>
      </x:c>
      <x:c r="Q40" s="48" t="n">
        <x:v>8</x:v>
      </x:c>
      <x:c r="R40" s="48" t="n">
        <x:v>3</x:v>
      </x:c>
      <x:c r="S40" s="49" t="n">
        <x:f>ROUND(N40*VLOOKUP(L40,'Assumptions'!$A$16:$C$19,2,FALSE)+O40*VLOOKUP(L40,'Assumptions'!$A$16:$C$19,3,FALSE)+(P40-5)*0.10+(Q40-5)*0.08+(I40/10)*0.25-(R40-5)*0.10,1)</x:f>
        <x:v>9.4</x:v>
      </x:c>
      <x:c r="T40" s="47" t="str">
        <x:f>IF(U40&lt;&gt;"Use Model",U40,IF(S40&gt;=8.5,"Priority",IF(S40&gt;=7.6,"Target",IF(S40&gt;=6.8,"Watch","Neutral"))))</x:f>
        <x:v>Priority</x:v>
      </x:c>
      <x:c r="U40" s="50" t="str">
        <x:v>Use Model</x:v>
      </x:c>
      <x:c r="V40" s="51" t="str"/>
      <x:c r="W40" s="51" t="str">
        <x:v>Adds startable target volume and spike-week potential without requiring a rigid positional build.</x:v>
      </x:c>
      <x:c r="X40" s="51" t="str">
        <x:v>The player can be useful without separating enough from readily available waiver-wire alternatives.</x:v>
      </x:c>
      <x:c r="Y40" s="51" t="str">
        <x:v>Use the Turn Board to select the highest remaining player in the same position/value tier.</x:v>
      </x:c>
      <x:c r="Z40" s="51" t="str">
        <x:v>Pair with RB scarcity or premium QB/TE leverage.</x:v>
      </x:c>
      <x:c r="AA40" s="51" t="n">
        <x:v>24</x:v>
      </x:c>
      <x:c r="AB40" s="51" t="n">
        <x:v>25</x:v>
      </x:c>
      <x:c r="AC40" s="51" t="n">
        <x:v>40</x:v>
      </x:c>
      <x:c r="AD40" s="51" t="str">
        <x:v>https://g.espncdn.com/s/ffldraftkit/26/NFL26_CS_PPR300.pdf?adddata=2026CS_PPR300</x:v>
      </x:c>
      <x:c r="AE40" s="51" t="str">
        <x:v>https://fantasyfootballcalculator.com/adp/ppr/8-team/all</x:v>
      </x:c>
      <x:c r="AF40" s="51" t="str">
        <x:v>https://www.rotowire.com/football/article/2026-fantasy-football-rankings-ppr-preseason-week-2-update-129449</x:v>
      </x:c>
      <x:c r="AG40" s="47" t="str">
        <x:f>IF(COUNTIFS('Live Draft'!$D$6:$D$133,8,'Live Draft'!$E$6:$E$133,A40)&gt;0,"My Team",IF(COUNTIF('Live Draft'!$E$6:$E$133,A40)&gt;0,"Other Team","Available"))</x:f>
        <x:v>Available</x:v>
      </x:c>
      <x:c r="AH40" s="52" t="n">
        <x:v>46261</x:v>
      </x:c>
    </x:row>
    <x:row r="41" ht="44" hidden="0" customHeight="1">
      <x:c r="A41" s="46" t="str">
        <x:v>Josh Allen</x:v>
      </x:c>
      <x:c r="B41" s="47" t="str">
        <x:v>QB</x:v>
      </x:c>
      <x:c r="C41" s="47" t="str">
        <x:v>BUF</x:v>
      </x:c>
      <x:c r="D41" s="48" t="n">
        <x:v>7</x:v>
      </x:c>
      <x:c r="E41" s="48" t="n">
        <x:v>36</x:v>
      </x:c>
      <x:c r="F41" s="48" t="n">
        <x:v>31</x:v>
      </x:c>
      <x:c r="G41" s="48" t="n">
        <x:v>34</x:v>
      </x:c>
      <x:c r="H41" s="48" t="n">
        <x:v>5</x:v>
      </x:c>
      <x:c r="I41" s="48" t="n">
        <x:v>3</x:v>
      </x:c>
      <x:c r="J41" s="48" t="n">
        <x:v>4</x:v>
      </x:c>
      <x:c r="K41" s="48" t="n">
        <x:v>25</x:v>
      </x:c>
      <x:c r="L41" s="48" t="str">
        <x:v>Build</x:v>
      </x:c>
      <x:c r="M41" s="48" t="str">
        <x:v>One-QB value</x:v>
      </x:c>
      <x:c r="N41" s="48" t="n">
        <x:v>7</x:v>
      </x:c>
      <x:c r="O41" s="48" t="n">
        <x:v>8</x:v>
      </x:c>
      <x:c r="P41" s="48" t="n">
        <x:v>7</x:v>
      </x:c>
      <x:c r="Q41" s="48" t="n">
        <x:v>7</x:v>
      </x:c>
      <x:c r="R41" s="48" t="n">
        <x:v>3</x:v>
      </x:c>
      <x:c r="S41" s="49" t="n">
        <x:f>ROUND(N41*VLOOKUP(L41,'Assumptions'!$A$16:$C$19,2,FALSE)+O41*VLOOKUP(L41,'Assumptions'!$A$16:$C$19,3,FALSE)+(P41-5)*0.10+(Q41-5)*0.08+(I41/10)*0.25-(R41-5)*0.10,1)</x:f>
        <x:v>8.2</x:v>
      </x:c>
      <x:c r="T41" s="47" t="str">
        <x:f>IF(U41&lt;&gt;"Use Model",U41,IF(S41&gt;=8.5,"Priority",IF(S41&gt;=7.6,"Target",IF(S41&gt;=6.8,"Watch","Neutral"))))</x:f>
        <x:v>Target</x:v>
      </x:c>
      <x:c r="U41" s="50" t="str">
        <x:v>Use Model</x:v>
      </x:c>
      <x:c r="V41" s="51" t="str"/>
      <x:c r="W41" s="51" t="str">
        <x:v>Provides one-QB scoring leverage without sacrificing the early RB/WR foundation.</x:v>
      </x:c>
      <x:c r="X41" s="51" t="str">
        <x:v>The player can be useful without separating enough from readily available waiver-wire alternatives.</x:v>
      </x:c>
      <x:c r="Y41" s="51" t="str">
        <x:v>Use the Turn Board to select the highest remaining player in the same position/value tier.</x:v>
      </x:c>
      <x:c r="Z41" s="51" t="str">
        <x:v>Do not draft a second QB.</x:v>
      </x:c>
      <x:c r="AA41" s="51" t="n">
        <x:v>24</x:v>
      </x:c>
      <x:c r="AB41" s="51" t="n">
        <x:v>25</x:v>
      </x:c>
      <x:c r="AC41" s="51" t="n">
        <x:v>40</x:v>
      </x:c>
      <x:c r="AD41" s="51" t="str">
        <x:v>https://g.espncdn.com/s/ffldraftkit/26/NFL26_CS_PPR300.pdf?adddata=2026CS_PPR300</x:v>
      </x:c>
      <x:c r="AE41" s="51" t="str">
        <x:v>https://fantasyfootballcalculator.com/adp/ppr/8-team/all</x:v>
      </x:c>
      <x:c r="AF41" s="51" t="str">
        <x:v>https://www.rotowire.com/football/article/2026-fantasy-football-rankings-ppr-preseason-week-2-update-129449</x:v>
      </x:c>
      <x:c r="AG41" s="47" t="str">
        <x:f>IF(COUNTIFS('Live Draft'!$D$6:$D$133,8,'Live Draft'!$E$6:$E$133,A41)&gt;0,"My Team",IF(COUNTIF('Live Draft'!$E$6:$E$133,A41)&gt;0,"Other Team","Available"))</x:f>
        <x:v>Available</x:v>
      </x:c>
      <x:c r="AH41" s="52" t="n">
        <x:v>46261</x:v>
      </x:c>
    </x:row>
    <x:row r="42" ht="44" hidden="0" customHeight="1">
      <x:c r="A42" s="46" t="str">
        <x:v>Travis Etienne Jr.</x:v>
      </x:c>
      <x:c r="B42" s="47" t="str">
        <x:v>RB</x:v>
      </x:c>
      <x:c r="C42" s="47" t="str">
        <x:v>NO</x:v>
      </x:c>
      <x:c r="D42" s="48" t="n">
        <x:v>8</x:v>
      </x:c>
      <x:c r="E42" s="48" t="n">
        <x:v>37</x:v>
      </x:c>
      <x:c r="F42" s="48" t="n">
        <x:v>41</x:v>
      </x:c>
      <x:c r="G42" s="48" t="n">
        <x:v>41</x:v>
      </x:c>
      <x:c r="H42" s="48" t="n">
        <x:v>-4</x:v>
      </x:c>
      <x:c r="I42" s="48" t="n">
        <x:v>0</x:v>
      </x:c>
      <x:c r="J42" s="48" t="n">
        <x:v>6</x:v>
      </x:c>
      <x:c r="K42" s="48" t="n">
        <x:v>41</x:v>
      </x:c>
      <x:c r="L42" s="48" t="str">
        <x:v>Build</x:v>
      </x:c>
      <x:c r="M42" s="48" t="str">
        <x:v>Volume + contingency</x:v>
      </x:c>
      <x:c r="N42" s="48" t="n">
        <x:v>7</x:v>
      </x:c>
      <x:c r="O42" s="48" t="n">
        <x:v>8</x:v>
      </x:c>
      <x:c r="P42" s="48" t="n">
        <x:v>7</x:v>
      </x:c>
      <x:c r="Q42" s="48" t="n">
        <x:v>7</x:v>
      </x:c>
      <x:c r="R42" s="48" t="n">
        <x:v>3</x:v>
      </x:c>
      <x:c r="S42" s="49" t="n">
        <x:f>ROUND(N42*VLOOKUP(L42,'Assumptions'!$A$16:$C$19,2,FALSE)+O42*VLOOKUP(L42,'Assumptions'!$A$16:$C$19,3,FALSE)+(P42-5)*0.10+(Q42-5)*0.08+(I42/10)*0.25-(R42-5)*0.10,1)</x:f>
        <x:v>8.1</x:v>
      </x:c>
      <x:c r="T42" s="47" t="str">
        <x:f>IF(U42&lt;&gt;"Use Model",U42,IF(S42&gt;=8.5,"Priority",IF(S42&gt;=7.6,"Target",IF(S42&gt;=6.8,"Watch","Neutral"))))</x:f>
        <x:v>Target</x:v>
      </x:c>
      <x:c r="U42" s="50" t="str">
        <x:v>Use Model</x:v>
      </x:c>
      <x:c r="V42" s="51" t="str"/>
      <x:c r="W42" s="51" t="str">
        <x:v>Fits the two-FLEX build by adding either bankable touches or contingent workload at the correct price.</x:v>
      </x:c>
      <x:c r="X42" s="51" t="str">
        <x:v>The player can be useful without separating enough from readily available waiver-wire alternatives.</x:v>
      </x:c>
      <x:c r="Y42" s="51" t="str">
        <x:v>Use the Turn Board to select the highest remaining player in the same position/value tier.</x:v>
      </x:c>
      <x:c r="Z42" s="51" t="str">
        <x:v>Pair with a WR at the same turn unless he is a clear faller.</x:v>
      </x:c>
      <x:c r="AA42" s="51" t="n">
        <x:v>40</x:v>
      </x:c>
      <x:c r="AB42" s="51" t="n">
        <x:v>41</x:v>
      </x:c>
      <x:c r="AC42" s="51" t="n">
        <x:v>56</x:v>
      </x:c>
      <x:c r="AD42" s="51" t="str">
        <x:v>https://g.espncdn.com/s/ffldraftkit/26/NFL26_CS_PPR300.pdf?adddata=2026CS_PPR300</x:v>
      </x:c>
      <x:c r="AE42" s="51" t="str">
        <x:v>https://fantasyfootballcalculator.com/adp/ppr/8-team/all</x:v>
      </x:c>
      <x:c r="AF42" s="51" t="str">
        <x:v>https://www.rotowire.com/football/article/2026-fantasy-football-rankings-ppr-preseason-week-2-update-129449</x:v>
      </x:c>
      <x:c r="AG42" s="47" t="str">
        <x:f>IF(COUNTIFS('Live Draft'!$D$6:$D$133,8,'Live Draft'!$E$6:$E$133,A42)&gt;0,"My Team",IF(COUNTIF('Live Draft'!$E$6:$E$133,A42)&gt;0,"Other Team","Available"))</x:f>
        <x:v>Available</x:v>
      </x:c>
      <x:c r="AH42" s="52" t="n">
        <x:v>46261</x:v>
      </x:c>
    </x:row>
    <x:row r="43" ht="44" hidden="0" customHeight="1">
      <x:c r="A43" s="46" t="str">
        <x:v>Kyren Williams</x:v>
      </x:c>
      <x:c r="B43" s="47" t="str">
        <x:v>RB</x:v>
      </x:c>
      <x:c r="C43" s="47" t="str">
        <x:v>LAR</x:v>
      </x:c>
      <x:c r="D43" s="48" t="n">
        <x:v>11</x:v>
      </x:c>
      <x:c r="E43" s="48" t="n">
        <x:v>38</x:v>
      </x:c>
      <x:c r="F43" s="48" t="n">
        <x:v>37</x:v>
      </x:c>
      <x:c r="G43" s="48" t="n">
        <x:v>33</x:v>
      </x:c>
      <x:c r="H43" s="48" t="n">
        <x:v>1</x:v>
      </x:c>
      <x:c r="I43" s="48" t="n">
        <x:v>-4</x:v>
      </x:c>
      <x:c r="J43" s="48" t="n">
        <x:v>5</x:v>
      </x:c>
      <x:c r="K43" s="48" t="n">
        <x:v>40</x:v>
      </x:c>
      <x:c r="L43" s="48" t="str">
        <x:v>Build</x:v>
      </x:c>
      <x:c r="M43" s="48" t="str">
        <x:v>Volume + contingency</x:v>
      </x:c>
      <x:c r="N43" s="48" t="n">
        <x:v>7</x:v>
      </x:c>
      <x:c r="O43" s="48" t="n">
        <x:v>8</x:v>
      </x:c>
      <x:c r="P43" s="48" t="n">
        <x:v>7</x:v>
      </x:c>
      <x:c r="Q43" s="48" t="n">
        <x:v>7</x:v>
      </x:c>
      <x:c r="R43" s="48" t="n">
        <x:v>3</x:v>
      </x:c>
      <x:c r="S43" s="49" t="n">
        <x:f>ROUND(N43*VLOOKUP(L43,'Assumptions'!$A$16:$C$19,2,FALSE)+O43*VLOOKUP(L43,'Assumptions'!$A$16:$C$19,3,FALSE)+(P43-5)*0.10+(Q43-5)*0.08+(I43/10)*0.25-(R43-5)*0.10,1)</x:f>
        <x:v>8</x:v>
      </x:c>
      <x:c r="T43" s="47" t="str">
        <x:f>IF(U43&lt;&gt;"Use Model",U43,IF(S43&gt;=8.5,"Priority",IF(S43&gt;=7.6,"Target",IF(S43&gt;=6.8,"Watch","Neutral"))))</x:f>
        <x:v>Target</x:v>
      </x:c>
      <x:c r="U43" s="50" t="str">
        <x:v>Use Model</x:v>
      </x:c>
      <x:c r="V43" s="51" t="str"/>
      <x:c r="W43" s="51" t="str">
        <x:v>Fits the two-FLEX build by adding either bankable touches or contingent workload at the correct price.</x:v>
      </x:c>
      <x:c r="X43" s="51" t="str">
        <x:v>The player can be useful without separating enough from readily available waiver-wire alternatives.</x:v>
      </x:c>
      <x:c r="Y43" s="51" t="str">
        <x:v>Use the Turn Board to select the highest remaining player in the same position/value tier.</x:v>
      </x:c>
      <x:c r="Z43" s="51" t="str">
        <x:v>Pair with a WR at the same turn unless he is a clear faller.</x:v>
      </x:c>
      <x:c r="AA43" s="51" t="n">
        <x:v>25</x:v>
      </x:c>
      <x:c r="AB43" s="51" t="n">
        <x:v>40</x:v>
      </x:c>
      <x:c r="AC43" s="51" t="n">
        <x:v>41</x:v>
      </x:c>
      <x:c r="AD43" s="51" t="str">
        <x:v>https://g.espncdn.com/s/ffldraftkit/26/NFL26_CS_PPR300.pdf?adddata=2026CS_PPR300</x:v>
      </x:c>
      <x:c r="AE43" s="51" t="str">
        <x:v>https://fantasyfootballcalculator.com/adp/ppr/8-team/all</x:v>
      </x:c>
      <x:c r="AF43" s="51" t="str">
        <x:v>https://www.rotowire.com/football/article/2026-fantasy-football-rankings-ppr-preseason-week-2-update-129449</x:v>
      </x:c>
      <x:c r="AG43" s="47" t="str">
        <x:f>IF(COUNTIFS('Live Draft'!$D$6:$D$133,8,'Live Draft'!$E$6:$E$133,A43)&gt;0,"My Team",IF(COUNTIF('Live Draft'!$E$6:$E$133,A43)&gt;0,"Other Team","Available"))</x:f>
        <x:v>Available</x:v>
      </x:c>
      <x:c r="AH43" s="52" t="n">
        <x:v>46261</x:v>
      </x:c>
    </x:row>
    <x:row r="44" ht="44" hidden="0" customHeight="1">
      <x:c r="A44" s="46" t="str">
        <x:v>Quinshon Judkins</x:v>
      </x:c>
      <x:c r="B44" s="47" t="str">
        <x:v>RB</x:v>
      </x:c>
      <x:c r="C44" s="47" t="str">
        <x:v>CLE</x:v>
      </x:c>
      <x:c r="D44" s="48" t="n">
        <x:v>11</x:v>
      </x:c>
      <x:c r="E44" s="48" t="n">
        <x:v>39</x:v>
      </x:c>
      <x:c r="F44" s="48" t="n">
        <x:v>50</x:v>
      </x:c>
      <x:c r="G44" s="48" t="n">
        <x:v>50</x:v>
      </x:c>
      <x:c r="H44" s="48" t="n">
        <x:v>-11</x:v>
      </x:c>
      <x:c r="I44" s="48" t="n">
        <x:v>0</x:v>
      </x:c>
      <x:c r="J44" s="48" t="n">
        <x:v>7</x:v>
      </x:c>
      <x:c r="K44" s="48" t="n">
        <x:v>56</x:v>
      </x:c>
      <x:c r="L44" s="48" t="str">
        <x:v>Upside</x:v>
      </x:c>
      <x:c r="M44" s="48" t="str">
        <x:v>Volume + contingency</x:v>
      </x:c>
      <x:c r="N44" s="48" t="n">
        <x:v>7</x:v>
      </x:c>
      <x:c r="O44" s="48" t="n">
        <x:v>8</x:v>
      </x:c>
      <x:c r="P44" s="48" t="n">
        <x:v>7</x:v>
      </x:c>
      <x:c r="Q44" s="48" t="n">
        <x:v>7</x:v>
      </x:c>
      <x:c r="R44" s="48" t="n">
        <x:v>3</x:v>
      </x:c>
      <x:c r="S44" s="49" t="n">
        <x:f>ROUND(N44*VLOOKUP(L44,'Assumptions'!$A$16:$C$19,2,FALSE)+O44*VLOOKUP(L44,'Assumptions'!$A$16:$C$19,3,FALSE)+(P44-5)*0.10+(Q44-5)*0.08+(I44/10)*0.25-(R44-5)*0.10,1)</x:f>
        <x:v>8.3</x:v>
      </x:c>
      <x:c r="T44" s="47" t="str">
        <x:f>IF(U44&lt;&gt;"Use Model",U44,IF(S44&gt;=8.5,"Priority",IF(S44&gt;=7.6,"Target",IF(S44&gt;=6.8,"Watch","Neutral"))))</x:f>
        <x:v>Target</x:v>
      </x:c>
      <x:c r="U44" s="50" t="str">
        <x:v>Use Model</x:v>
      </x:c>
      <x:c r="V44" s="51" t="str"/>
      <x:c r="W44" s="51" t="str">
        <x:v>Fits the two-FLEX build by adding either bankable touches or contingent workload at the correct price.</x:v>
      </x:c>
      <x:c r="X44" s="51" t="str">
        <x:v>The player can be useful without separating enough from readily available waiver-wire alternatives.</x:v>
      </x:c>
      <x:c r="Y44" s="51" t="str">
        <x:v>Use the Turn Board to select the highest remaining player in the same position/value tier.</x:v>
      </x:c>
      <x:c r="Z44" s="51" t="str">
        <x:v>Pair with a WR at the same turn unless he is a clear faller.</x:v>
      </x:c>
      <x:c r="AA44" s="51" t="n">
        <x:v>41</x:v>
      </x:c>
      <x:c r="AB44" s="51" t="n">
        <x:v>56</x:v>
      </x:c>
      <x:c r="AC44" s="51" t="n">
        <x:v>57</x:v>
      </x:c>
      <x:c r="AD44" s="51" t="str">
        <x:v>https://g.espncdn.com/s/ffldraftkit/26/NFL26_CS_PPR300.pdf?adddata=2026CS_PPR300</x:v>
      </x:c>
      <x:c r="AE44" s="51" t="str">
        <x:v>https://fantasyfootballcalculator.com/adp/ppr/8-team/all</x:v>
      </x:c>
      <x:c r="AF44" s="51" t="str">
        <x:v>https://www.rotowire.com/football/article/2026-fantasy-football-rankings-ppr-preseason-week-2-update-129449</x:v>
      </x:c>
      <x:c r="AG44" s="47" t="str">
        <x:f>IF(COUNTIFS('Live Draft'!$D$6:$D$133,8,'Live Draft'!$E$6:$E$133,A44)&gt;0,"My Team",IF(COUNTIF('Live Draft'!$E$6:$E$133,A44)&gt;0,"Other Team","Available"))</x:f>
        <x:v>Available</x:v>
      </x:c>
      <x:c r="AH44" s="52" t="n">
        <x:v>46261</x:v>
      </x:c>
    </x:row>
    <x:row r="45" ht="44" hidden="0" customHeight="1">
      <x:c r="A45" s="46" t="str">
        <x:v>Cam Skattebo</x:v>
      </x:c>
      <x:c r="B45" s="47" t="str">
        <x:v>RB</x:v>
      </x:c>
      <x:c r="C45" s="47" t="str">
        <x:v>NYG</x:v>
      </x:c>
      <x:c r="D45" s="48" t="n">
        <x:v>8</x:v>
      </x:c>
      <x:c r="E45" s="48" t="n">
        <x:v>40</x:v>
      </x:c>
      <x:c r="F45" s="48" t="n">
        <x:v>52</x:v>
      </x:c>
      <x:c r="G45" s="48" t="n">
        <x:v>42</x:v>
      </x:c>
      <x:c r="H45" s="48" t="n">
        <x:v>-12</x:v>
      </x:c>
      <x:c r="I45" s="48" t="n">
        <x:v>-10</x:v>
      </x:c>
      <x:c r="J45" s="48" t="n">
        <x:v>6</x:v>
      </x:c>
      <x:c r="K45" s="48" t="n">
        <x:v>41</x:v>
      </x:c>
      <x:c r="L45" s="48" t="str">
        <x:v>Build</x:v>
      </x:c>
      <x:c r="M45" s="48" t="str">
        <x:v>Volume + contingency</x:v>
      </x:c>
      <x:c r="N45" s="48" t="n">
        <x:v>7</x:v>
      </x:c>
      <x:c r="O45" s="48" t="n">
        <x:v>8</x:v>
      </x:c>
      <x:c r="P45" s="48" t="n">
        <x:v>7</x:v>
      </x:c>
      <x:c r="Q45" s="48" t="n">
        <x:v>7</x:v>
      </x:c>
      <x:c r="R45" s="48" t="n">
        <x:v>3</x:v>
      </x:c>
      <x:c r="S45" s="49" t="n">
        <x:f>ROUND(N45*VLOOKUP(L45,'Assumptions'!$A$16:$C$19,2,FALSE)+O45*VLOOKUP(L45,'Assumptions'!$A$16:$C$19,3,FALSE)+(P45-5)*0.10+(Q45-5)*0.08+(I45/10)*0.25-(R45-5)*0.10,1)</x:f>
        <x:v>7.9</x:v>
      </x:c>
      <x:c r="T45" s="47" t="str">
        <x:f>IF(U45&lt;&gt;"Use Model",U45,IF(S45&gt;=8.5,"Priority",IF(S45&gt;=7.6,"Target",IF(S45&gt;=6.8,"Watch","Neutral"))))</x:f>
        <x:v>Target</x:v>
      </x:c>
      <x:c r="U45" s="50" t="str">
        <x:v>Use Model</x:v>
      </x:c>
      <x:c r="V45" s="51" t="str"/>
      <x:c r="W45" s="51" t="str">
        <x:v>Fits the two-FLEX build by adding either bankable touches or contingent workload at the correct price.</x:v>
      </x:c>
      <x:c r="X45" s="51" t="str">
        <x:v>The player can be useful without separating enough from readily available waiver-wire alternatives.</x:v>
      </x:c>
      <x:c r="Y45" s="51" t="str">
        <x:v>Use the Turn Board to select the highest remaining player in the same position/value tier.</x:v>
      </x:c>
      <x:c r="Z45" s="51" t="str">
        <x:v>Pair with a WR at the same turn unless he is a clear faller.</x:v>
      </x:c>
      <x:c r="AA45" s="51" t="n">
        <x:v>40</x:v>
      </x:c>
      <x:c r="AB45" s="51" t="n">
        <x:v>41</x:v>
      </x:c>
      <x:c r="AC45" s="51" t="n">
        <x:v>56</x:v>
      </x:c>
      <x:c r="AD45" s="51" t="str">
        <x:v>https://g.espncdn.com/s/ffldraftkit/26/NFL26_CS_PPR300.pdf?adddata=2026CS_PPR300</x:v>
      </x:c>
      <x:c r="AE45" s="51" t="str">
        <x:v>https://fantasyfootballcalculator.com/adp/ppr/8-team/all</x:v>
      </x:c>
      <x:c r="AF45" s="51" t="str">
        <x:v>https://www.rotowire.com/football/article/2026-fantasy-football-rankings-ppr-preseason-week-2-update-129449</x:v>
      </x:c>
      <x:c r="AG45" s="47" t="str">
        <x:f>IF(COUNTIFS('Live Draft'!$D$6:$D$133,8,'Live Draft'!$E$6:$E$133,A45)&gt;0,"My Team",IF(COUNTIF('Live Draft'!$E$6:$E$133,A45)&gt;0,"Other Team","Available"))</x:f>
        <x:v>Available</x:v>
      </x:c>
      <x:c r="AH45" s="52" t="n">
        <x:v>46261</x:v>
      </x:c>
    </x:row>
    <x:row r="46" ht="44" hidden="0" customHeight="1">
      <x:c r="A46" s="46" t="str">
        <x:v>Bucky Irving</x:v>
      </x:c>
      <x:c r="B46" s="47" t="str">
        <x:v>RB</x:v>
      </x:c>
      <x:c r="C46" s="47" t="str">
        <x:v>TB</x:v>
      </x:c>
      <x:c r="D46" s="48" t="n">
        <x:v>10</x:v>
      </x:c>
      <x:c r="E46" s="48" t="n">
        <x:v>41</x:v>
      </x:c>
      <x:c r="F46" s="48" t="n">
        <x:v>63</x:v>
      </x:c>
      <x:c r="G46" s="48" t="n">
        <x:v>45</x:v>
      </x:c>
      <x:c r="H46" s="48" t="n">
        <x:v>-22</x:v>
      </x:c>
      <x:c r="I46" s="48" t="n">
        <x:v>-18</x:v>
      </x:c>
      <x:c r="J46" s="48" t="n">
        <x:v>8</x:v>
      </x:c>
      <x:c r="K46" s="48" t="n">
        <x:v>57</x:v>
      </x:c>
      <x:c r="L46" s="48" t="str">
        <x:v>Upside</x:v>
      </x:c>
      <x:c r="M46" s="48" t="str">
        <x:v>Volume + contingency</x:v>
      </x:c>
      <x:c r="N46" s="48" t="n">
        <x:v>6</x:v>
      </x:c>
      <x:c r="O46" s="48" t="n">
        <x:v>7</x:v>
      </x:c>
      <x:c r="P46" s="48" t="n">
        <x:v>6</x:v>
      </x:c>
      <x:c r="Q46" s="48" t="n">
        <x:v>6</x:v>
      </x:c>
      <x:c r="R46" s="48" t="n">
        <x:v>3</x:v>
      </x:c>
      <x:c r="S46" s="49" t="n">
        <x:f>ROUND(N46*VLOOKUP(L46,'Assumptions'!$A$16:$C$19,2,FALSE)+O46*VLOOKUP(L46,'Assumptions'!$A$16:$C$19,3,FALSE)+(P46-5)*0.10+(Q46-5)*0.08+(I46/10)*0.25-(R46-5)*0.10,1)</x:f>
        <x:v>6.7</x:v>
      </x:c>
      <x:c r="T46" s="47" t="str">
        <x:f>IF(U46&lt;&gt;"Use Model",U46,IF(S46&gt;=8.5,"Priority",IF(S46&gt;=7.6,"Target",IF(S46&gt;=6.8,"Watch","Neutral"))))</x:f>
        <x:v>Fade</x:v>
      </x:c>
      <x:c r="U46" s="50" t="str">
        <x:v>Fade</x:v>
      </x:c>
      <x:c r="V46" s="51" t="str"/>
      <x:c r="W46" s="51" t="str">
        <x:v>Fits the two-FLEX build by adding either bankable touches or contingent workload at the correct price.</x:v>
      </x:c>
      <x:c r="X46" s="51" t="str">
        <x:v>The player can be useful without separating enough from readily available waiver-wire alternatives.</x:v>
      </x:c>
      <x:c r="Y46" s="51" t="str">
        <x:v>Use the Turn Board to select the highest remaining player in the same position/value tier.</x:v>
      </x:c>
      <x:c r="Z46" s="51" t="str">
        <x:v>Pair with a WR at the same turn unless he is a clear faller.</x:v>
      </x:c>
      <x:c r="AA46" s="51" t="n">
        <x:v>56</x:v>
      </x:c>
      <x:c r="AB46" s="51" t="n">
        <x:v>57</x:v>
      </x:c>
      <x:c r="AC46" s="51" t="n">
        <x:v>72</x:v>
      </x:c>
      <x:c r="AD46" s="51" t="str">
        <x:v>https://g.espncdn.com/s/ffldraftkit/26/NFL26_CS_PPR300.pdf?adddata=2026CS_PPR300</x:v>
      </x:c>
      <x:c r="AE46" s="51" t="str">
        <x:v>https://fantasyfootballcalculator.com/adp/ppr/8-team/all</x:v>
      </x:c>
      <x:c r="AF46" s="51" t="str">
        <x:v>https://www.rotowire.com/football/article/2026-fantasy-football-rankings-ppr-preseason-week-2-update-129449</x:v>
      </x:c>
      <x:c r="AG46" s="47" t="str">
        <x:f>IF(COUNTIFS('Live Draft'!$D$6:$D$133,8,'Live Draft'!$E$6:$E$133,A46)&gt;0,"My Team",IF(COUNTIF('Live Draft'!$E$6:$E$133,A46)&gt;0,"Other Team","Available"))</x:f>
        <x:v>Available</x:v>
      </x:c>
      <x:c r="AH46" s="52" t="n">
        <x:v>46261</x:v>
      </x:c>
    </x:row>
    <x:row r="47" ht="44" hidden="0" customHeight="1">
      <x:c r="A47" s="46" t="str">
        <x:v>Emeka Egbuka</x:v>
      </x:c>
      <x:c r="B47" s="47" t="str">
        <x:v>WR</x:v>
      </x:c>
      <x:c r="C47" s="47" t="str">
        <x:v>TB</x:v>
      </x:c>
      <x:c r="D47" s="48" t="n">
        <x:v>10</x:v>
      </x:c>
      <x:c r="E47" s="48" t="n">
        <x:v>42</x:v>
      </x:c>
      <x:c r="F47" s="48" t="n">
        <x:v>34</x:v>
      </x:c>
      <x:c r="G47" s="48" t="n">
        <x:v>36</x:v>
      </x:c>
      <x:c r="H47" s="48" t="n">
        <x:v>8</x:v>
      </x:c>
      <x:c r="I47" s="48" t="n">
        <x:v>2</x:v>
      </x:c>
      <x:c r="J47" s="48" t="n">
        <x:v>5</x:v>
      </x:c>
      <x:c r="K47" s="48" t="n">
        <x:v>40</x:v>
      </x:c>
      <x:c r="L47" s="48" t="str">
        <x:v>Build</x:v>
      </x:c>
      <x:c r="M47" s="48" t="str">
        <x:v>Target + spike weeks</x:v>
      </x:c>
      <x:c r="N47" s="48" t="n">
        <x:v>7</x:v>
      </x:c>
      <x:c r="O47" s="48" t="n">
        <x:v>8</x:v>
      </x:c>
      <x:c r="P47" s="48" t="n">
        <x:v>7</x:v>
      </x:c>
      <x:c r="Q47" s="48" t="n">
        <x:v>7</x:v>
      </x:c>
      <x:c r="R47" s="48" t="n">
        <x:v>3</x:v>
      </x:c>
      <x:c r="S47" s="49" t="n">
        <x:f>ROUND(N47*VLOOKUP(L47,'Assumptions'!$A$16:$C$19,2,FALSE)+O47*VLOOKUP(L47,'Assumptions'!$A$16:$C$19,3,FALSE)+(P47-5)*0.10+(Q47-5)*0.08+(I47/10)*0.25-(R47-5)*0.10,1)</x:f>
        <x:v>8.2</x:v>
      </x:c>
      <x:c r="T47" s="47" t="str">
        <x:f>IF(U47&lt;&gt;"Use Model",U47,IF(S47&gt;=8.5,"Priority",IF(S47&gt;=7.6,"Target",IF(S47&gt;=6.8,"Watch","Neutral"))))</x:f>
        <x:v>Target</x:v>
      </x:c>
      <x:c r="U47" s="50" t="str">
        <x:v>Use Model</x:v>
      </x:c>
      <x:c r="V47" s="51" t="str"/>
      <x:c r="W47" s="51" t="str">
        <x:v>Adds startable target volume and spike-week potential without requiring a rigid positional build.</x:v>
      </x:c>
      <x:c r="X47" s="51" t="str">
        <x:v>The player can be useful without separating enough from readily available waiver-wire alternatives.</x:v>
      </x:c>
      <x:c r="Y47" s="51" t="str">
        <x:v>Use the Turn Board to select the highest remaining player in the same position/value tier.</x:v>
      </x:c>
      <x:c r="Z47" s="51" t="str">
        <x:v>Pair with RB scarcity or premium QB/TE leverage.</x:v>
      </x:c>
      <x:c r="AA47" s="51" t="n">
        <x:v>25</x:v>
      </x:c>
      <x:c r="AB47" s="51" t="n">
        <x:v>40</x:v>
      </x:c>
      <x:c r="AC47" s="51" t="n">
        <x:v>41</x:v>
      </x:c>
      <x:c r="AD47" s="51" t="str">
        <x:v>https://g.espncdn.com/s/ffldraftkit/26/NFL26_CS_PPR300.pdf?adddata=2026CS_PPR300</x:v>
      </x:c>
      <x:c r="AE47" s="51" t="str">
        <x:v>https://fantasyfootballcalculator.com/adp/ppr/8-team/all</x:v>
      </x:c>
      <x:c r="AF47" s="51" t="str">
        <x:v>https://www.rotowire.com/football/article/2026-fantasy-football-rankings-ppr-preseason-week-2-update-129449</x:v>
      </x:c>
      <x:c r="AG47" s="47" t="str">
        <x:f>IF(COUNTIFS('Live Draft'!$D$6:$D$133,8,'Live Draft'!$E$6:$E$133,A47)&gt;0,"My Team",IF(COUNTIF('Live Draft'!$E$6:$E$133,A47)&gt;0,"Other Team","Available"))</x:f>
        <x:v>Available</x:v>
      </x:c>
      <x:c r="AH47" s="52" t="n">
        <x:v>46261</x:v>
      </x:c>
    </x:row>
    <x:row r="48" ht="44" hidden="0" customHeight="1">
      <x:c r="A48" s="46" t="str">
        <x:v>Davante Adams</x:v>
      </x:c>
      <x:c r="B48" s="47" t="str">
        <x:v>WR</x:v>
      </x:c>
      <x:c r="C48" s="47" t="str">
        <x:v>LAR</x:v>
      </x:c>
      <x:c r="D48" s="48" t="n">
        <x:v>11</x:v>
      </x:c>
      <x:c r="E48" s="48" t="n">
        <x:v>43</x:v>
      </x:c>
      <x:c r="F48" s="48" t="n">
        <x:v>55</x:v>
      </x:c>
      <x:c r="G48" s="48" t="n">
        <x:v>43</x:v>
      </x:c>
      <x:c r="H48" s="48" t="n">
        <x:v>-12</x:v>
      </x:c>
      <x:c r="I48" s="48" t="n">
        <x:v>-12</x:v>
      </x:c>
      <x:c r="J48" s="48" t="n">
        <x:v>7</x:v>
      </x:c>
      <x:c r="K48" s="48" t="n">
        <x:v>56</x:v>
      </x:c>
      <x:c r="L48" s="48" t="str">
        <x:v>Upside</x:v>
      </x:c>
      <x:c r="M48" s="48" t="str">
        <x:v>Target + spike weeks</x:v>
      </x:c>
      <x:c r="N48" s="48" t="n">
        <x:v>7</x:v>
      </x:c>
      <x:c r="O48" s="48" t="n">
        <x:v>8</x:v>
      </x:c>
      <x:c r="P48" s="48" t="n">
        <x:v>7</x:v>
      </x:c>
      <x:c r="Q48" s="48" t="n">
        <x:v>7</x:v>
      </x:c>
      <x:c r="R48" s="48" t="n">
        <x:v>3</x:v>
      </x:c>
      <x:c r="S48" s="49" t="n">
        <x:f>ROUND(N48*VLOOKUP(L48,'Assumptions'!$A$16:$C$19,2,FALSE)+O48*VLOOKUP(L48,'Assumptions'!$A$16:$C$19,3,FALSE)+(P48-5)*0.10+(Q48-5)*0.08+(I48/10)*0.25-(R48-5)*0.10,1)</x:f>
        <x:v>8</x:v>
      </x:c>
      <x:c r="T48" s="47" t="str">
        <x:f>IF(U48&lt;&gt;"Use Model",U48,IF(S48&gt;=8.5,"Priority",IF(S48&gt;=7.6,"Target",IF(S48&gt;=6.8,"Watch","Neutral"))))</x:f>
        <x:v>Target</x:v>
      </x:c>
      <x:c r="U48" s="50" t="str">
        <x:v>Use Model</x:v>
      </x:c>
      <x:c r="V48" s="51" t="str"/>
      <x:c r="W48" s="51" t="str">
        <x:v>Adds startable target volume and spike-week potential without requiring a rigid positional build.</x:v>
      </x:c>
      <x:c r="X48" s="51" t="str">
        <x:v>The player can be useful without separating enough from readily available waiver-wire alternatives.</x:v>
      </x:c>
      <x:c r="Y48" s="51" t="str">
        <x:v>Use the Turn Board to select the highest remaining player in the same position/value tier.</x:v>
      </x:c>
      <x:c r="Z48" s="51" t="str">
        <x:v>Pair with RB scarcity or premium QB/TE leverage.</x:v>
      </x:c>
      <x:c r="AA48" s="51" t="n">
        <x:v>41</x:v>
      </x:c>
      <x:c r="AB48" s="51" t="n">
        <x:v>56</x:v>
      </x:c>
      <x:c r="AC48" s="51" t="n">
        <x:v>57</x:v>
      </x:c>
      <x:c r="AD48" s="51" t="str">
        <x:v>https://g.espncdn.com/s/ffldraftkit/26/NFL26_CS_PPR300.pdf?adddata=2026CS_PPR300</x:v>
      </x:c>
      <x:c r="AE48" s="51" t="str">
        <x:v>https://fantasyfootballcalculator.com/adp/ppr/8-team/all</x:v>
      </x:c>
      <x:c r="AF48" s="51" t="str">
        <x:v>https://www.rotowire.com/football/article/2026-fantasy-football-rankings-ppr-preseason-week-2-update-129449</x:v>
      </x:c>
      <x:c r="AG48" s="47" t="str">
        <x:f>IF(COUNTIFS('Live Draft'!$D$6:$D$133,8,'Live Draft'!$E$6:$E$133,A48)&gt;0,"My Team",IF(COUNTIF('Live Draft'!$E$6:$E$133,A48)&gt;0,"Other Team","Available"))</x:f>
        <x:v>Available</x:v>
      </x:c>
      <x:c r="AH48" s="52" t="n">
        <x:v>46261</x:v>
      </x:c>
    </x:row>
    <x:row r="49" ht="44" hidden="0" customHeight="1">
      <x:c r="A49" s="46" t="str">
        <x:v>Ladd McConkey</x:v>
      </x:c>
      <x:c r="B49" s="47" t="str">
        <x:v>WR</x:v>
      </x:c>
      <x:c r="C49" s="47" t="str">
        <x:v>LAC</x:v>
      </x:c>
      <x:c r="D49" s="48" t="n">
        <x:v>7</x:v>
      </x:c>
      <x:c r="E49" s="48" t="n">
        <x:v>44</x:v>
      </x:c>
      <x:c r="F49" s="48" t="n">
        <x:v>30</x:v>
      </x:c>
      <x:c r="G49" s="48" t="n">
        <x:v>40</x:v>
      </x:c>
      <x:c r="H49" s="48" t="n">
        <x:v>14</x:v>
      </x:c>
      <x:c r="I49" s="48" t="n">
        <x:v>10</x:v>
      </x:c>
      <x:c r="J49" s="48" t="n">
        <x:v>5</x:v>
      </x:c>
      <x:c r="K49" s="48" t="n">
        <x:v>40</x:v>
      </x:c>
      <x:c r="L49" s="48" t="str">
        <x:v>Build</x:v>
      </x:c>
      <x:c r="M49" s="48" t="str">
        <x:v>Target + spike weeks</x:v>
      </x:c>
      <x:c r="N49" s="48" t="n">
        <x:v>8</x:v>
      </x:c>
      <x:c r="O49" s="48" t="n">
        <x:v>9</x:v>
      </x:c>
      <x:c r="P49" s="48" t="n">
        <x:v>8</x:v>
      </x:c>
      <x:c r="Q49" s="48" t="n">
        <x:v>8</x:v>
      </x:c>
      <x:c r="R49" s="48" t="n">
        <x:v>3</x:v>
      </x:c>
      <x:c r="S49" s="49" t="n">
        <x:f>ROUND(N49*VLOOKUP(L49,'Assumptions'!$A$16:$C$19,2,FALSE)+O49*VLOOKUP(L49,'Assumptions'!$A$16:$C$19,3,FALSE)+(P49-5)*0.10+(Q49-5)*0.08+(I49/10)*0.25-(R49-5)*0.10,1)</x:f>
        <x:v>9.5</x:v>
      </x:c>
      <x:c r="T49" s="47" t="str">
        <x:f>IF(U49&lt;&gt;"Use Model",U49,IF(S49&gt;=8.5,"Priority",IF(S49&gt;=7.6,"Target",IF(S49&gt;=6.8,"Watch","Neutral"))))</x:f>
        <x:v>Priority</x:v>
      </x:c>
      <x:c r="U49" s="50" t="str">
        <x:v>Priority</x:v>
      </x:c>
      <x:c r="V49" s="51" t="str"/>
      <x:c r="W49" s="51" t="str">
        <x:v>ESPN rank 44 is a usable discount versus the expert model. Strong Round 5 WR/FLEX target.</x:v>
      </x:c>
      <x:c r="X49" s="51" t="str">
        <x:v>If the offense spreads volume more widely, his ceiling can settle closer to WR2 than WR1.</x:v>
      </x:c>
      <x:c r="Y49" s="51" t="str">
        <x:v>Tee Higgins; Emeka Egbuka; Travis Etienne Jr.</x:v>
      </x:c>
      <x:c r="Z49" s="51" t="str">
        <x:v>Pair with RB scarcity or premium QB/TE leverage.</x:v>
      </x:c>
      <x:c r="AA49" s="51" t="n">
        <x:v>25</x:v>
      </x:c>
      <x:c r="AB49" s="51" t="n">
        <x:v>40</x:v>
      </x:c>
      <x:c r="AC49" s="51" t="n">
        <x:v>41</x:v>
      </x:c>
      <x:c r="AD49" s="51" t="str">
        <x:v>https://g.espncdn.com/s/ffldraftkit/26/NFL26_CS_PPR300.pdf?adddata=2026CS_PPR300</x:v>
      </x:c>
      <x:c r="AE49" s="51" t="str">
        <x:v>https://fantasyfootballcalculator.com/adp/ppr/8-team/all</x:v>
      </x:c>
      <x:c r="AF49" s="51" t="str">
        <x:v>https://www.rotowire.com/football/article/2026-fantasy-football-rankings-ppr-preseason-week-2-update-129449</x:v>
      </x:c>
      <x:c r="AG49" s="47" t="str">
        <x:f>IF(COUNTIFS('Live Draft'!$D$6:$D$133,8,'Live Draft'!$E$6:$E$133,A49)&gt;0,"My Team",IF(COUNTIF('Live Draft'!$E$6:$E$133,A49)&gt;0,"Other Team","Available"))</x:f>
        <x:v>Available</x:v>
      </x:c>
      <x:c r="AH49" s="52" t="n">
        <x:v>46261</x:v>
      </x:c>
    </x:row>
    <x:row r="50" ht="44" hidden="0" customHeight="1">
      <x:c r="A50" s="46" t="str">
        <x:v>Terry McLaurin</x:v>
      </x:c>
      <x:c r="B50" s="47" t="str">
        <x:v>WR</x:v>
      </x:c>
      <x:c r="C50" s="47" t="str">
        <x:v>WAS</x:v>
      </x:c>
      <x:c r="D50" s="48" t="n">
        <x:v>7</x:v>
      </x:c>
      <x:c r="E50" s="48" t="n">
        <x:v>45</x:v>
      </x:c>
      <x:c r="F50" s="48" t="n">
        <x:v>46</x:v>
      </x:c>
      <x:c r="G50" s="48" t="n">
        <x:v>48</x:v>
      </x:c>
      <x:c r="H50" s="48" t="n">
        <x:v>-1</x:v>
      </x:c>
      <x:c r="I50" s="48" t="n">
        <x:v>2</x:v>
      </x:c>
      <x:c r="J50" s="48" t="n">
        <x:v>6</x:v>
      </x:c>
      <x:c r="K50" s="48" t="n">
        <x:v>41</x:v>
      </x:c>
      <x:c r="L50" s="48" t="str">
        <x:v>Build</x:v>
      </x:c>
      <x:c r="M50" s="48" t="str">
        <x:v>Target + spike weeks</x:v>
      </x:c>
      <x:c r="N50" s="48" t="n">
        <x:v>7</x:v>
      </x:c>
      <x:c r="O50" s="48" t="n">
        <x:v>8</x:v>
      </x:c>
      <x:c r="P50" s="48" t="n">
        <x:v>7</x:v>
      </x:c>
      <x:c r="Q50" s="48" t="n">
        <x:v>7</x:v>
      </x:c>
      <x:c r="R50" s="48" t="n">
        <x:v>3</x:v>
      </x:c>
      <x:c r="S50" s="49" t="n">
        <x:f>ROUND(N50*VLOOKUP(L50,'Assumptions'!$A$16:$C$19,2,FALSE)+O50*VLOOKUP(L50,'Assumptions'!$A$16:$C$19,3,FALSE)+(P50-5)*0.10+(Q50-5)*0.08+(I50/10)*0.25-(R50-5)*0.10,1)</x:f>
        <x:v>8.2</x:v>
      </x:c>
      <x:c r="T50" s="47" t="str">
        <x:f>IF(U50&lt;&gt;"Use Model",U50,IF(S50&gt;=8.5,"Priority",IF(S50&gt;=7.6,"Target",IF(S50&gt;=6.8,"Watch","Neutral"))))</x:f>
        <x:v>Target</x:v>
      </x:c>
      <x:c r="U50" s="50" t="str">
        <x:v>Use Model</x:v>
      </x:c>
      <x:c r="V50" s="51" t="str"/>
      <x:c r="W50" s="51" t="str">
        <x:v>Adds startable target volume and spike-week potential without requiring a rigid positional build.</x:v>
      </x:c>
      <x:c r="X50" s="51" t="str">
        <x:v>The player can be useful without separating enough from readily available waiver-wire alternatives.</x:v>
      </x:c>
      <x:c r="Y50" s="51" t="str">
        <x:v>Use the Turn Board to select the highest remaining player in the same position/value tier.</x:v>
      </x:c>
      <x:c r="Z50" s="51" t="str">
        <x:v>Pair with RB scarcity or premium QB/TE leverage.</x:v>
      </x:c>
      <x:c r="AA50" s="51" t="n">
        <x:v>40</x:v>
      </x:c>
      <x:c r="AB50" s="51" t="n">
        <x:v>41</x:v>
      </x:c>
      <x:c r="AC50" s="51" t="n">
        <x:v>56</x:v>
      </x:c>
      <x:c r="AD50" s="51" t="str">
        <x:v>https://g.espncdn.com/s/ffldraftkit/26/NFL26_CS_PPR300.pdf?adddata=2026CS_PPR300</x:v>
      </x:c>
      <x:c r="AE50" s="51" t="str">
        <x:v>https://fantasyfootballcalculator.com/adp/ppr/8-team/all</x:v>
      </x:c>
      <x:c r="AF50" s="51" t="str">
        <x:v>https://www.rotowire.com/football/article/2026-fantasy-football-rankings-ppr-preseason-week-2-update-129449</x:v>
      </x:c>
      <x:c r="AG50" s="47" t="str">
        <x:f>IF(COUNTIFS('Live Draft'!$D$6:$D$133,8,'Live Draft'!$E$6:$E$133,A50)&gt;0,"My Team",IF(COUNTIF('Live Draft'!$E$6:$E$133,A50)&gt;0,"Other Team","Available"))</x:f>
        <x:v>Available</x:v>
      </x:c>
      <x:c r="AH50" s="52" t="n">
        <x:v>46261</x:v>
      </x:c>
    </x:row>
    <x:row r="51" ht="44" hidden="0" customHeight="1">
      <x:c r="A51" s="46" t="str">
        <x:v>Tee Higgins</x:v>
      </x:c>
      <x:c r="B51" s="47" t="str">
        <x:v>WR</x:v>
      </x:c>
      <x:c r="C51" s="47" t="str">
        <x:v>CIN</x:v>
      </x:c>
      <x:c r="D51" s="48" t="n">
        <x:v>6</x:v>
      </x:c>
      <x:c r="E51" s="48" t="n">
        <x:v>46</x:v>
      </x:c>
      <x:c r="F51" s="48" t="n">
        <x:v>39</x:v>
      </x:c>
      <x:c r="G51" s="48" t="n">
        <x:v>38</x:v>
      </x:c>
      <x:c r="H51" s="48" t="n">
        <x:v>7</x:v>
      </x:c>
      <x:c r="I51" s="48" t="n">
        <x:v>-1</x:v>
      </x:c>
      <x:c r="J51" s="48" t="n">
        <x:v>5</x:v>
      </x:c>
      <x:c r="K51" s="48" t="n">
        <x:v>40</x:v>
      </x:c>
      <x:c r="L51" s="48" t="str">
        <x:v>Build</x:v>
      </x:c>
      <x:c r="M51" s="48" t="str">
        <x:v>Target + spike weeks</x:v>
      </x:c>
      <x:c r="N51" s="48" t="n">
        <x:v>8</x:v>
      </x:c>
      <x:c r="O51" s="48" t="n">
        <x:v>9</x:v>
      </x:c>
      <x:c r="P51" s="48" t="n">
        <x:v>7</x:v>
      </x:c>
      <x:c r="Q51" s="48" t="n">
        <x:v>7</x:v>
      </x:c>
      <x:c r="R51" s="48" t="n">
        <x:v>3</x:v>
      </x:c>
      <x:c r="S51" s="49" t="n">
        <x:f>ROUND(N51*VLOOKUP(L51,'Assumptions'!$A$16:$C$19,2,FALSE)+O51*VLOOKUP(L51,'Assumptions'!$A$16:$C$19,3,FALSE)+(P51-5)*0.10+(Q51-5)*0.08+(I51/10)*0.25-(R51-5)*0.10,1)</x:f>
        <x:v>9.1</x:v>
      </x:c>
      <x:c r="T51" s="47" t="str">
        <x:f>IF(U51&lt;&gt;"Use Model",U51,IF(S51&gt;=8.5,"Priority",IF(S51&gt;=7.6,"Target",IF(S51&gt;=6.8,"Watch","Neutral"))))</x:f>
        <x:v>Priority</x:v>
      </x:c>
      <x:c r="U51" s="50" t="str">
        <x:v>Priority</x:v>
      </x:c>
      <x:c r="V51" s="51" t="str"/>
      <x:c r="W51" s="51" t="str">
        <x:v>A model and market value at ESPN rank 46; strong enough to start in either FLEX immediately.</x:v>
      </x:c>
      <x:c r="X51" s="51" t="str">
        <x:v>Target share still lives beside Ja'Marr Chase, creating occasional low-volume games.</x:v>
      </x:c>
      <x:c r="Y51" s="51" t="str">
        <x:v>Ladd McConkey; Jaylen Waddle; Emeka Egbuka</x:v>
      </x:c>
      <x:c r="Z51" s="51" t="str">
        <x:v>Pair with RB scarcity or premium QB/TE leverage.</x:v>
      </x:c>
      <x:c r="AA51" s="51" t="n">
        <x:v>25</x:v>
      </x:c>
      <x:c r="AB51" s="51" t="n">
        <x:v>40</x:v>
      </x:c>
      <x:c r="AC51" s="51" t="n">
        <x:v>41</x:v>
      </x:c>
      <x:c r="AD51" s="51" t="str">
        <x:v>https://g.espncdn.com/s/ffldraftkit/26/NFL26_CS_PPR300.pdf?adddata=2026CS_PPR300</x:v>
      </x:c>
      <x:c r="AE51" s="51" t="str">
        <x:v>https://fantasyfootballcalculator.com/adp/ppr/8-team/all</x:v>
      </x:c>
      <x:c r="AF51" s="51" t="str">
        <x:v>https://www.rotowire.com/football/article/2026-fantasy-football-rankings-ppr-preseason-week-2-update-129449</x:v>
      </x:c>
      <x:c r="AG51" s="47" t="str">
        <x:f>IF(COUNTIFS('Live Draft'!$D$6:$D$133,8,'Live Draft'!$E$6:$E$133,A51)&gt;0,"My Team",IF(COUNTIF('Live Draft'!$E$6:$E$133,A51)&gt;0,"Other Team","Available"))</x:f>
        <x:v>Available</x:v>
      </x:c>
      <x:c r="AH51" s="52" t="n">
        <x:v>46261</x:v>
      </x:c>
    </x:row>
    <x:row r="52" ht="44" hidden="0" customHeight="1">
      <x:c r="A52" s="46" t="str">
        <x:v>Jaylen Waddle</x:v>
      </x:c>
      <x:c r="B52" s="47" t="str">
        <x:v>WR</x:v>
      </x:c>
      <x:c r="C52" s="47" t="str">
        <x:v>DEN</x:v>
      </x:c>
      <x:c r="D52" s="48" t="n">
        <x:v>10</x:v>
      </x:c>
      <x:c r="E52" s="48" t="n">
        <x:v>47</x:v>
      </x:c>
      <x:c r="F52" s="48" t="n">
        <x:v>29</x:v>
      </x:c>
      <x:c r="G52" s="48" t="n">
        <x:v>46</x:v>
      </x:c>
      <x:c r="H52" s="48" t="n">
        <x:v>18</x:v>
      </x:c>
      <x:c r="I52" s="48" t="n">
        <x:v>17</x:v>
      </x:c>
      <x:c r="J52" s="48" t="n">
        <x:v>5</x:v>
      </x:c>
      <x:c r="K52" s="48" t="n">
        <x:v>40</x:v>
      </x:c>
      <x:c r="L52" s="48" t="str">
        <x:v>Build</x:v>
      </x:c>
      <x:c r="M52" s="48" t="str">
        <x:v>Target + spike weeks</x:v>
      </x:c>
      <x:c r="N52" s="48" t="n">
        <x:v>8</x:v>
      </x:c>
      <x:c r="O52" s="48" t="n">
        <x:v>9</x:v>
      </x:c>
      <x:c r="P52" s="48" t="n">
        <x:v>8</x:v>
      </x:c>
      <x:c r="Q52" s="48" t="n">
        <x:v>8</x:v>
      </x:c>
      <x:c r="R52" s="48" t="n">
        <x:v>3</x:v>
      </x:c>
      <x:c r="S52" s="49" t="n">
        <x:f>ROUND(N52*VLOOKUP(L52,'Assumptions'!$A$16:$C$19,2,FALSE)+O52*VLOOKUP(L52,'Assumptions'!$A$16:$C$19,3,FALSE)+(P52-5)*0.10+(Q52-5)*0.08+(I52/10)*0.25-(R52-5)*0.10,1)</x:f>
        <x:v>9.7</x:v>
      </x:c>
      <x:c r="T52" s="47" t="str">
        <x:f>IF(U52&lt;&gt;"Use Model",U52,IF(S52&gt;=8.5,"Priority",IF(S52&gt;=7.6,"Target",IF(S52&gt;=6.8,"Watch","Neutral"))))</x:f>
        <x:v>Target</x:v>
      </x:c>
      <x:c r="U52" s="50" t="str">
        <x:v>Target</x:v>
      </x:c>
      <x:c r="V52" s="51" t="str"/>
      <x:c r="W52" s="51" t="str">
        <x:v>Adds startable target volume and spike-week potential without requiring a rigid positional build.</x:v>
      </x:c>
      <x:c r="X52" s="51" t="str">
        <x:v>The player can be useful without separating enough from readily available waiver-wire alternatives.</x:v>
      </x:c>
      <x:c r="Y52" s="51" t="str">
        <x:v>Use the Turn Board to select the highest remaining player in the same position/value tier.</x:v>
      </x:c>
      <x:c r="Z52" s="51" t="str">
        <x:v>Pair with RB scarcity or premium QB/TE leverage.</x:v>
      </x:c>
      <x:c r="AA52" s="51" t="n">
        <x:v>25</x:v>
      </x:c>
      <x:c r="AB52" s="51" t="n">
        <x:v>40</x:v>
      </x:c>
      <x:c r="AC52" s="51" t="n">
        <x:v>41</x:v>
      </x:c>
      <x:c r="AD52" s="51" t="str">
        <x:v>https://g.espncdn.com/s/ffldraftkit/26/NFL26_CS_PPR300.pdf?adddata=2026CS_PPR300</x:v>
      </x:c>
      <x:c r="AE52" s="51" t="str">
        <x:v>https://fantasyfootballcalculator.com/adp/ppr/8-team/all</x:v>
      </x:c>
      <x:c r="AF52" s="51" t="str">
        <x:v>https://www.rotowire.com/football/article/2026-fantasy-football-rankings-ppr-preseason-week-2-update-129449</x:v>
      </x:c>
      <x:c r="AG52" s="47" t="str">
        <x:f>IF(COUNTIFS('Live Draft'!$D$6:$D$133,8,'Live Draft'!$E$6:$E$133,A52)&gt;0,"My Team",IF(COUNTIF('Live Draft'!$E$6:$E$133,A52)&gt;0,"Other Team","Available"))</x:f>
        <x:v>Available</x:v>
      </x:c>
      <x:c r="AH52" s="52" t="n">
        <x:v>46261</x:v>
      </x:c>
    </x:row>
    <x:row r="53" ht="44" hidden="0" customHeight="1">
      <x:c r="A53" s="46" t="str">
        <x:v>Rome Odunze</x:v>
      </x:c>
      <x:c r="B53" s="47" t="str">
        <x:v>WR</x:v>
      </x:c>
      <x:c r="C53" s="47" t="str">
        <x:v>CHI</x:v>
      </x:c>
      <x:c r="D53" s="48" t="n">
        <x:v>10</x:v>
      </x:c>
      <x:c r="E53" s="48" t="n">
        <x:v>48</x:v>
      </x:c>
      <x:c r="F53" s="48" t="n">
        <x:v>58</x:v>
      </x:c>
      <x:c r="G53" s="48" t="n">
        <x:v>53</x:v>
      </x:c>
      <x:c r="H53" s="48" t="n">
        <x:v>-10</x:v>
      </x:c>
      <x:c r="I53" s="48" t="n">
        <x:v>-5</x:v>
      </x:c>
      <x:c r="J53" s="48" t="n">
        <x:v>7</x:v>
      </x:c>
      <x:c r="K53" s="48" t="n">
        <x:v>56</x:v>
      </x:c>
      <x:c r="L53" s="48" t="str">
        <x:v>Upside</x:v>
      </x:c>
      <x:c r="M53" s="48" t="str">
        <x:v>Target + spike weeks</x:v>
      </x:c>
      <x:c r="N53" s="48" t="n">
        <x:v>7</x:v>
      </x:c>
      <x:c r="O53" s="48" t="n">
        <x:v>8</x:v>
      </x:c>
      <x:c r="P53" s="48" t="n">
        <x:v>7</x:v>
      </x:c>
      <x:c r="Q53" s="48" t="n">
        <x:v>7</x:v>
      </x:c>
      <x:c r="R53" s="48" t="n">
        <x:v>3</x:v>
      </x:c>
      <x:c r="S53" s="49" t="n">
        <x:f>ROUND(N53*VLOOKUP(L53,'Assumptions'!$A$16:$C$19,2,FALSE)+O53*VLOOKUP(L53,'Assumptions'!$A$16:$C$19,3,FALSE)+(P53-5)*0.10+(Q53-5)*0.08+(I53/10)*0.25-(R53-5)*0.10,1)</x:f>
        <x:v>8.2</x:v>
      </x:c>
      <x:c r="T53" s="47" t="str">
        <x:f>IF(U53&lt;&gt;"Use Model",U53,IF(S53&gt;=8.5,"Priority",IF(S53&gt;=7.6,"Target",IF(S53&gt;=6.8,"Watch","Neutral"))))</x:f>
        <x:v>Target</x:v>
      </x:c>
      <x:c r="U53" s="50" t="str">
        <x:v>Use Model</x:v>
      </x:c>
      <x:c r="V53" s="51" t="str"/>
      <x:c r="W53" s="51" t="str">
        <x:v>Adds startable target volume and spike-week potential without requiring a rigid positional build.</x:v>
      </x:c>
      <x:c r="X53" s="51" t="str">
        <x:v>The player can be useful without separating enough from readily available waiver-wire alternatives.</x:v>
      </x:c>
      <x:c r="Y53" s="51" t="str">
        <x:v>Use the Turn Board to select the highest remaining player in the same position/value tier.</x:v>
      </x:c>
      <x:c r="Z53" s="51" t="str">
        <x:v>Pair with RB scarcity or premium QB/TE leverage.</x:v>
      </x:c>
      <x:c r="AA53" s="51" t="n">
        <x:v>41</x:v>
      </x:c>
      <x:c r="AB53" s="51" t="n">
        <x:v>56</x:v>
      </x:c>
      <x:c r="AC53" s="51" t="n">
        <x:v>57</x:v>
      </x:c>
      <x:c r="AD53" s="51" t="str">
        <x:v>https://g.espncdn.com/s/ffldraftkit/26/NFL26_CS_PPR300.pdf?adddata=2026CS_PPR300</x:v>
      </x:c>
      <x:c r="AE53" s="51" t="str">
        <x:v>https://fantasyfootballcalculator.com/adp/ppr/8-team/all</x:v>
      </x:c>
      <x:c r="AF53" s="51" t="str">
        <x:v>https://www.rotowire.com/football/article/2026-fantasy-football-rankings-ppr-preseason-week-2-update-129449</x:v>
      </x:c>
      <x:c r="AG53" s="47" t="str">
        <x:f>IF(COUNTIFS('Live Draft'!$D$6:$D$133,8,'Live Draft'!$E$6:$E$133,A53)&gt;0,"My Team",IF(COUNTIF('Live Draft'!$E$6:$E$133,A53)&gt;0,"Other Team","Available"))</x:f>
        <x:v>Available</x:v>
      </x:c>
      <x:c r="AH53" s="52" t="n">
        <x:v>46261</x:v>
      </x:c>
    </x:row>
    <x:row r="54" ht="44" hidden="0" customHeight="1">
      <x:c r="A54" s="46" t="str">
        <x:v>Colston Loveland</x:v>
      </x:c>
      <x:c r="B54" s="47" t="str">
        <x:v>TE</x:v>
      </x:c>
      <x:c r="C54" s="47" t="str">
        <x:v>CHI</x:v>
      </x:c>
      <x:c r="D54" s="48" t="n">
        <x:v>10</x:v>
      </x:c>
      <x:c r="E54" s="48" t="n">
        <x:v>49</x:v>
      </x:c>
      <x:c r="F54" s="48" t="n">
        <x:v>36</x:v>
      </x:c>
      <x:c r="G54" s="48" t="n">
        <x:v>56</x:v>
      </x:c>
      <x:c r="H54" s="48" t="n">
        <x:v>13</x:v>
      </x:c>
      <x:c r="I54" s="48" t="n">
        <x:v>20</x:v>
      </x:c>
      <x:c r="J54" s="48" t="n">
        <x:v>7</x:v>
      </x:c>
      <x:c r="K54" s="48" t="n">
        <x:v>56</x:v>
      </x:c>
      <x:c r="L54" s="48" t="str">
        <x:v>Upside</x:v>
      </x:c>
      <x:c r="M54" s="48" t="str">
        <x:v>Breakout TE</x:v>
      </x:c>
      <x:c r="N54" s="48" t="n">
        <x:v>7</x:v>
      </x:c>
      <x:c r="O54" s="48" t="n">
        <x:v>9</x:v>
      </x:c>
      <x:c r="P54" s="48" t="n">
        <x:v>7</x:v>
      </x:c>
      <x:c r="Q54" s="48" t="n">
        <x:v>7</x:v>
      </x:c>
      <x:c r="R54" s="48" t="n">
        <x:v>3</x:v>
      </x:c>
      <x:c r="S54" s="49" t="n">
        <x:f>ROUND(N54*VLOOKUP(L54,'Assumptions'!$A$16:$C$19,2,FALSE)+O54*VLOOKUP(L54,'Assumptions'!$A$16:$C$19,3,FALSE)+(P54-5)*0.10+(Q54-5)*0.08+(I54/10)*0.25-(R54-5)*0.10,1)</x:f>
        <x:v>9.6</x:v>
      </x:c>
      <x:c r="T54" s="47" t="str">
        <x:f>IF(U54&lt;&gt;"Use Model",U54,IF(S54&gt;=8.5,"Priority",IF(S54&gt;=7.6,"Target",IF(S54&gt;=6.8,"Watch","Neutral"))))</x:f>
        <x:v>Priority</x:v>
      </x:c>
      <x:c r="U54" s="50" t="str">
        <x:v>Priority</x:v>
      </x:c>
      <x:c r="V54" s="51" t="str"/>
      <x:c r="W54" s="51" t="str">
        <x:v>Fallback positional hammer if Bowers is missed. Model rank is 20 spots ahead of live ADP.</x:v>
      </x:c>
      <x:c r="X54" s="51" t="str">
        <x:v>Young tight ends can be volatile, and selecting him too early sacrifices FLEX depth.</x:v>
      </x:c>
      <x:c r="Y54" s="51" t="str">
        <x:v>Brock Bowers; Tyler Warren; Sam LaPorta</x:v>
      </x:c>
      <x:c r="Z54" s="51" t="str">
        <x:v>Do not draft a second TE.</x:v>
      </x:c>
      <x:c r="AA54" s="51" t="n">
        <x:v>41</x:v>
      </x:c>
      <x:c r="AB54" s="51" t="n">
        <x:v>56</x:v>
      </x:c>
      <x:c r="AC54" s="51" t="n">
        <x:v>57</x:v>
      </x:c>
      <x:c r="AD54" s="51" t="str">
        <x:v>https://g.espncdn.com/s/ffldraftkit/26/NFL26_CS_PPR300.pdf?adddata=2026CS_PPR300</x:v>
      </x:c>
      <x:c r="AE54" s="51" t="str">
        <x:v>https://fantasyfootballcalculator.com/adp/ppr/8-team/all</x:v>
      </x:c>
      <x:c r="AF54" s="51" t="str">
        <x:v>https://www.rotowire.com/football/article/2026-fantasy-football-rankings-ppr-preseason-week-2-update-129449</x:v>
      </x:c>
      <x:c r="AG54" s="47" t="str">
        <x:f>IF(COUNTIFS('Live Draft'!$D$6:$D$133,8,'Live Draft'!$E$6:$E$133,A54)&gt;0,"My Team",IF(COUNTIF('Live Draft'!$E$6:$E$133,A54)&gt;0,"Other Team","Available"))</x:f>
        <x:v>Available</x:v>
      </x:c>
      <x:c r="AH54" s="52" t="n">
        <x:v>46261</x:v>
      </x:c>
    </x:row>
    <x:row r="55" ht="44" hidden="0" customHeight="1">
      <x:c r="A55" s="46" t="str">
        <x:v>Tyler Warren</x:v>
      </x:c>
      <x:c r="B55" s="47" t="str">
        <x:v>TE</x:v>
      </x:c>
      <x:c r="C55" s="47" t="str">
        <x:v>IND</x:v>
      </x:c>
      <x:c r="D55" s="48" t="n">
        <x:v>13</x:v>
      </x:c>
      <x:c r="E55" s="48" t="n">
        <x:v>50</x:v>
      </x:c>
      <x:c r="F55" s="48" t="n">
        <x:v>48</x:v>
      </x:c>
      <x:c r="G55" s="48" t="n">
        <x:v>68</x:v>
      </x:c>
      <x:c r="H55" s="48" t="n">
        <x:v>2</x:v>
      </x:c>
      <x:c r="I55" s="48" t="n">
        <x:v>20</x:v>
      </x:c>
      <x:c r="J55" s="48" t="n">
        <x:v>7</x:v>
      </x:c>
      <x:c r="K55" s="48" t="n">
        <x:v>56</x:v>
      </x:c>
      <x:c r="L55" s="48" t="str">
        <x:v>Upside</x:v>
      </x:c>
      <x:c r="M55" s="48" t="str">
        <x:v>Positional leverage</x:v>
      </x:c>
      <x:c r="N55" s="48" t="n">
        <x:v>7</x:v>
      </x:c>
      <x:c r="O55" s="48" t="n">
        <x:v>8</x:v>
      </x:c>
      <x:c r="P55" s="48" t="n">
        <x:v>7</x:v>
      </x:c>
      <x:c r="Q55" s="48" t="n">
        <x:v>7</x:v>
      </x:c>
      <x:c r="R55" s="48" t="n">
        <x:v>3</x:v>
      </x:c>
      <x:c r="S55" s="49" t="n">
        <x:f>ROUND(N55*VLOOKUP(L55,'Assumptions'!$A$16:$C$19,2,FALSE)+O55*VLOOKUP(L55,'Assumptions'!$A$16:$C$19,3,FALSE)+(P55-5)*0.10+(Q55-5)*0.08+(I55/10)*0.25-(R55-5)*0.10,1)</x:f>
        <x:v>8.8</x:v>
      </x:c>
      <x:c r="T55" s="47" t="str">
        <x:f>IF(U55&lt;&gt;"Use Model",U55,IF(S55&gt;=8.5,"Priority",IF(S55&gt;=7.6,"Target",IF(S55&gt;=6.8,"Watch","Neutral"))))</x:f>
        <x:v>Target</x:v>
      </x:c>
      <x:c r="U55" s="50" t="str">
        <x:v>Target</x:v>
      </x:c>
      <x:c r="V55" s="51" t="str"/>
      <x:c r="W55" s="51" t="str">
        <x:v>Can create weekly positional leverage if selected at or below the recommended turn.</x:v>
      </x:c>
      <x:c r="X55" s="51" t="str">
        <x:v>The player can be useful without separating enough from readily available waiver-wire alternatives.</x:v>
      </x:c>
      <x:c r="Y55" s="51" t="str">
        <x:v>Use the Turn Board to select the highest remaining player in the same position/value tier.</x:v>
      </x:c>
      <x:c r="Z55" s="51" t="str">
        <x:v>Do not draft a second TE.</x:v>
      </x:c>
      <x:c r="AA55" s="51" t="n">
        <x:v>41</x:v>
      </x:c>
      <x:c r="AB55" s="51" t="n">
        <x:v>56</x:v>
      </x:c>
      <x:c r="AC55" s="51" t="n">
        <x:v>57</x:v>
      </x:c>
      <x:c r="AD55" s="51" t="str">
        <x:v>https://g.espncdn.com/s/ffldraftkit/26/NFL26_CS_PPR300.pdf?adddata=2026CS_PPR300</x:v>
      </x:c>
      <x:c r="AE55" s="51" t="str">
        <x:v>https://fantasyfootballcalculator.com/adp/ppr/8-team/all</x:v>
      </x:c>
      <x:c r="AF55" s="51" t="str">
        <x:v>https://www.rotowire.com/football/article/2026-fantasy-football-rankings-ppr-preseason-week-2-update-129449</x:v>
      </x:c>
      <x:c r="AG55" s="47" t="str">
        <x:f>IF(COUNTIFS('Live Draft'!$D$6:$D$133,8,'Live Draft'!$E$6:$E$133,A55)&gt;0,"My Team",IF(COUNTIF('Live Draft'!$E$6:$E$133,A55)&gt;0,"Other Team","Available"))</x:f>
        <x:v>Available</x:v>
      </x:c>
      <x:c r="AH55" s="52" t="n">
        <x:v>46261</x:v>
      </x:c>
    </x:row>
    <x:row r="56" ht="44" hidden="0" customHeight="1">
      <x:c r="A56" s="46" t="str">
        <x:v>Jameson Williams</x:v>
      </x:c>
      <x:c r="B56" s="47" t="str">
        <x:v>WR</x:v>
      </x:c>
      <x:c r="C56" s="47" t="str">
        <x:v>DET</x:v>
      </x:c>
      <x:c r="D56" s="48" t="n">
        <x:v>6</x:v>
      </x:c>
      <x:c r="E56" s="48" t="n">
        <x:v>51</x:v>
      </x:c>
      <x:c r="F56" s="48" t="n">
        <x:v>57</x:v>
      </x:c>
      <x:c r="G56" s="48" t="n">
        <x:v>44</x:v>
      </x:c>
      <x:c r="H56" s="48" t="n">
        <x:v>-6</x:v>
      </x:c>
      <x:c r="I56" s="48" t="n">
        <x:v>-13</x:v>
      </x:c>
      <x:c r="J56" s="48" t="n">
        <x:v>7</x:v>
      </x:c>
      <x:c r="K56" s="48" t="n">
        <x:v>56</x:v>
      </x:c>
      <x:c r="L56" s="48" t="str">
        <x:v>Upside</x:v>
      </x:c>
      <x:c r="M56" s="48" t="str">
        <x:v>Target + spike weeks</x:v>
      </x:c>
      <x:c r="N56" s="48" t="n">
        <x:v>7</x:v>
      </x:c>
      <x:c r="O56" s="48" t="n">
        <x:v>8</x:v>
      </x:c>
      <x:c r="P56" s="48" t="n">
        <x:v>7</x:v>
      </x:c>
      <x:c r="Q56" s="48" t="n">
        <x:v>7</x:v>
      </x:c>
      <x:c r="R56" s="48" t="n">
        <x:v>3</x:v>
      </x:c>
      <x:c r="S56" s="49" t="n">
        <x:f>ROUND(N56*VLOOKUP(L56,'Assumptions'!$A$16:$C$19,2,FALSE)+O56*VLOOKUP(L56,'Assumptions'!$A$16:$C$19,3,FALSE)+(P56-5)*0.10+(Q56-5)*0.08+(I56/10)*0.25-(R56-5)*0.10,1)</x:f>
        <x:v>8</x:v>
      </x:c>
      <x:c r="T56" s="47" t="str">
        <x:f>IF(U56&lt;&gt;"Use Model",U56,IF(S56&gt;=8.5,"Priority",IF(S56&gt;=7.6,"Target",IF(S56&gt;=6.8,"Watch","Neutral"))))</x:f>
        <x:v>Target</x:v>
      </x:c>
      <x:c r="U56" s="50" t="str">
        <x:v>Use Model</x:v>
      </x:c>
      <x:c r="V56" s="51" t="str"/>
      <x:c r="W56" s="51" t="str">
        <x:v>Adds startable target volume and spike-week potential without requiring a rigid positional build.</x:v>
      </x:c>
      <x:c r="X56" s="51" t="str">
        <x:v>The player can be useful without separating enough from readily available waiver-wire alternatives.</x:v>
      </x:c>
      <x:c r="Y56" s="51" t="str">
        <x:v>Use the Turn Board to select the highest remaining player in the same position/value tier.</x:v>
      </x:c>
      <x:c r="Z56" s="51" t="str">
        <x:v>Pair with RB scarcity or premium QB/TE leverage.</x:v>
      </x:c>
      <x:c r="AA56" s="51" t="n">
        <x:v>41</x:v>
      </x:c>
      <x:c r="AB56" s="51" t="n">
        <x:v>56</x:v>
      </x:c>
      <x:c r="AC56" s="51" t="n">
        <x:v>57</x:v>
      </x:c>
      <x:c r="AD56" s="51" t="str">
        <x:v>https://g.espncdn.com/s/ffldraftkit/26/NFL26_CS_PPR300.pdf?adddata=2026CS_PPR300</x:v>
      </x:c>
      <x:c r="AE56" s="51" t="str">
        <x:v>https://fantasyfootballcalculator.com/adp/ppr/8-team/all</x:v>
      </x:c>
      <x:c r="AF56" s="51" t="str">
        <x:v>https://www.rotowire.com/football/article/2026-fantasy-football-rankings-ppr-preseason-week-2-update-129449</x:v>
      </x:c>
      <x:c r="AG56" s="47" t="str">
        <x:f>IF(COUNTIFS('Live Draft'!$D$6:$D$133,8,'Live Draft'!$E$6:$E$133,A56)&gt;0,"My Team",IF(COUNTIF('Live Draft'!$E$6:$E$133,A56)&gt;0,"Other Team","Available"))</x:f>
        <x:v>Available</x:v>
      </x:c>
      <x:c r="AH56" s="52" t="n">
        <x:v>46261</x:v>
      </x:c>
    </x:row>
    <x:row r="57" ht="44" hidden="0" customHeight="1">
      <x:c r="A57" s="46" t="str">
        <x:v>DJ Moore</x:v>
      </x:c>
      <x:c r="B57" s="47" t="str">
        <x:v>WR</x:v>
      </x:c>
      <x:c r="C57" s="47" t="str">
        <x:v>BUF</x:v>
      </x:c>
      <x:c r="D57" s="48" t="n">
        <x:v>7</x:v>
      </x:c>
      <x:c r="E57" s="48" t="n">
        <x:v>52</x:v>
      </x:c>
      <x:c r="F57" s="48" t="n">
        <x:v>45</x:v>
      </x:c>
      <x:c r="G57" s="48" t="n">
        <x:v>49</x:v>
      </x:c>
      <x:c r="H57" s="48" t="n">
        <x:v>7</x:v>
      </x:c>
      <x:c r="I57" s="48" t="n">
        <x:v>4</x:v>
      </x:c>
      <x:c r="J57" s="48" t="n">
        <x:v>6</x:v>
      </x:c>
      <x:c r="K57" s="48" t="n">
        <x:v>41</x:v>
      </x:c>
      <x:c r="L57" s="48" t="str">
        <x:v>Build</x:v>
      </x:c>
      <x:c r="M57" s="48" t="str">
        <x:v>Target + spike weeks</x:v>
      </x:c>
      <x:c r="N57" s="48" t="n">
        <x:v>7</x:v>
      </x:c>
      <x:c r="O57" s="48" t="n">
        <x:v>8</x:v>
      </x:c>
      <x:c r="P57" s="48" t="n">
        <x:v>7</x:v>
      </x:c>
      <x:c r="Q57" s="48" t="n">
        <x:v>7</x:v>
      </x:c>
      <x:c r="R57" s="48" t="n">
        <x:v>3</x:v>
      </x:c>
      <x:c r="S57" s="49" t="n">
        <x:f>ROUND(N57*VLOOKUP(L57,'Assumptions'!$A$16:$C$19,2,FALSE)+O57*VLOOKUP(L57,'Assumptions'!$A$16:$C$19,3,FALSE)+(P57-5)*0.10+(Q57-5)*0.08+(I57/10)*0.25-(R57-5)*0.10,1)</x:f>
        <x:v>8.2</x:v>
      </x:c>
      <x:c r="T57" s="47" t="str">
        <x:f>IF(U57&lt;&gt;"Use Model",U57,IF(S57&gt;=8.5,"Priority",IF(S57&gt;=7.6,"Target",IF(S57&gt;=6.8,"Watch","Neutral"))))</x:f>
        <x:v>Target</x:v>
      </x:c>
      <x:c r="U57" s="50" t="str">
        <x:v>Use Model</x:v>
      </x:c>
      <x:c r="V57" s="51" t="str"/>
      <x:c r="W57" s="51" t="str">
        <x:v>Adds startable target volume and spike-week potential without requiring a rigid positional build.</x:v>
      </x:c>
      <x:c r="X57" s="51" t="str">
        <x:v>The player can be useful without separating enough from readily available waiver-wire alternatives.</x:v>
      </x:c>
      <x:c r="Y57" s="51" t="str">
        <x:v>Use the Turn Board to select the highest remaining player in the same position/value tier.</x:v>
      </x:c>
      <x:c r="Z57" s="51" t="str">
        <x:v>Pair with RB scarcity or premium QB/TE leverage.</x:v>
      </x:c>
      <x:c r="AA57" s="51" t="n">
        <x:v>40</x:v>
      </x:c>
      <x:c r="AB57" s="51" t="n">
        <x:v>41</x:v>
      </x:c>
      <x:c r="AC57" s="51" t="n">
        <x:v>56</x:v>
      </x:c>
      <x:c r="AD57" s="51" t="str">
        <x:v>https://g.espncdn.com/s/ffldraftkit/26/NFL26_CS_PPR300.pdf?adddata=2026CS_PPR300</x:v>
      </x:c>
      <x:c r="AE57" s="51" t="str">
        <x:v>https://fantasyfootballcalculator.com/adp/ppr/8-team/all</x:v>
      </x:c>
      <x:c r="AF57" s="51" t="str">
        <x:v>https://www.rotowire.com/football/article/2026-fantasy-football-rankings-ppr-preseason-week-2-update-129449</x:v>
      </x:c>
      <x:c r="AG57" s="47" t="str">
        <x:f>IF(COUNTIFS('Live Draft'!$D$6:$D$133,8,'Live Draft'!$E$6:$E$133,A57)&gt;0,"My Team",IF(COUNTIF('Live Draft'!$E$6:$E$133,A57)&gt;0,"Other Team","Available"))</x:f>
        <x:v>Available</x:v>
      </x:c>
      <x:c r="AH57" s="52" t="n">
        <x:v>46261</x:v>
      </x:c>
    </x:row>
    <x:row r="58" ht="44" hidden="0" customHeight="1">
      <x:c r="A58" s="46" t="str">
        <x:v>Luther Burden III</x:v>
      </x:c>
      <x:c r="B58" s="47" t="str">
        <x:v>WR</x:v>
      </x:c>
      <x:c r="C58" s="47" t="str">
        <x:v>CHI</x:v>
      </x:c>
      <x:c r="D58" s="48" t="n">
        <x:v>10</x:v>
      </x:c>
      <x:c r="E58" s="48" t="n">
        <x:v>53</x:v>
      </x:c>
      <x:c r="F58" s="48" t="n">
        <x:v>43</x:v>
      </x:c>
      <x:c r="G58" s="48" t="n">
        <x:v>55</x:v>
      </x:c>
      <x:c r="H58" s="48" t="n">
        <x:v>10</x:v>
      </x:c>
      <x:c r="I58" s="48" t="n">
        <x:v>12</x:v>
      </x:c>
      <x:c r="J58" s="48" t="n">
        <x:v>6</x:v>
      </x:c>
      <x:c r="K58" s="48" t="n">
        <x:v>41</x:v>
      </x:c>
      <x:c r="L58" s="48" t="str">
        <x:v>Build</x:v>
      </x:c>
      <x:c r="M58" s="48" t="str">
        <x:v>Target + spike weeks</x:v>
      </x:c>
      <x:c r="N58" s="48" t="n">
        <x:v>7</x:v>
      </x:c>
      <x:c r="O58" s="48" t="n">
        <x:v>8</x:v>
      </x:c>
      <x:c r="P58" s="48" t="n">
        <x:v>7</x:v>
      </x:c>
      <x:c r="Q58" s="48" t="n">
        <x:v>7</x:v>
      </x:c>
      <x:c r="R58" s="48" t="n">
        <x:v>3</x:v>
      </x:c>
      <x:c r="S58" s="49" t="n">
        <x:f>ROUND(N58*VLOOKUP(L58,'Assumptions'!$A$16:$C$19,2,FALSE)+O58*VLOOKUP(L58,'Assumptions'!$A$16:$C$19,3,FALSE)+(P58-5)*0.10+(Q58-5)*0.08+(I58/10)*0.25-(R58-5)*0.10,1)</x:f>
        <x:v>8.4</x:v>
      </x:c>
      <x:c r="T58" s="47" t="str">
        <x:f>IF(U58&lt;&gt;"Use Model",U58,IF(S58&gt;=8.5,"Priority",IF(S58&gt;=7.6,"Target",IF(S58&gt;=6.8,"Watch","Neutral"))))</x:f>
        <x:v>Target</x:v>
      </x:c>
      <x:c r="U58" s="50" t="str">
        <x:v>Target</x:v>
      </x:c>
      <x:c r="V58" s="51" t="str"/>
      <x:c r="W58" s="51" t="str">
        <x:v>Adds startable target volume and spike-week potential without requiring a rigid positional build.</x:v>
      </x:c>
      <x:c r="X58" s="51" t="str">
        <x:v>The player can be useful without separating enough from readily available waiver-wire alternatives.</x:v>
      </x:c>
      <x:c r="Y58" s="51" t="str">
        <x:v>Use the Turn Board to select the highest remaining player in the same position/value tier.</x:v>
      </x:c>
      <x:c r="Z58" s="51" t="str">
        <x:v>Pair with RB scarcity or premium QB/TE leverage.</x:v>
      </x:c>
      <x:c r="AA58" s="51" t="n">
        <x:v>40</x:v>
      </x:c>
      <x:c r="AB58" s="51" t="n">
        <x:v>41</x:v>
      </x:c>
      <x:c r="AC58" s="51" t="n">
        <x:v>56</x:v>
      </x:c>
      <x:c r="AD58" s="51" t="str">
        <x:v>https://g.espncdn.com/s/ffldraftkit/26/NFL26_CS_PPR300.pdf?adddata=2026CS_PPR300</x:v>
      </x:c>
      <x:c r="AE58" s="51" t="str">
        <x:v>https://fantasyfootballcalculator.com/adp/ppr/8-team/all</x:v>
      </x:c>
      <x:c r="AF58" s="51" t="str">
        <x:v>https://www.rotowire.com/football/article/2026-fantasy-football-rankings-ppr-preseason-week-2-update-129449</x:v>
      </x:c>
      <x:c r="AG58" s="47" t="str">
        <x:f>IF(COUNTIFS('Live Draft'!$D$6:$D$133,8,'Live Draft'!$E$6:$E$133,A58)&gt;0,"My Team",IF(COUNTIF('Live Draft'!$E$6:$E$133,A58)&gt;0,"Other Team","Available"))</x:f>
        <x:v>Available</x:v>
      </x:c>
      <x:c r="AH58" s="52" t="n">
        <x:v>46261</x:v>
      </x:c>
    </x:row>
    <x:row r="59" ht="44" hidden="0" customHeight="1">
      <x:c r="A59" s="46" t="str">
        <x:v>Carnell Tate</x:v>
      </x:c>
      <x:c r="B59" s="47" t="str">
        <x:v>WR</x:v>
      </x:c>
      <x:c r="C59" s="47" t="str">
        <x:v>TEN</x:v>
      </x:c>
      <x:c r="D59" s="48" t="n">
        <x:v>9</x:v>
      </x:c>
      <x:c r="E59" s="48" t="n">
        <x:v>54</x:v>
      </x:c>
      <x:c r="F59" s="48" t="n">
        <x:v>59</x:v>
      </x:c>
      <x:c r="G59" s="48" t="n">
        <x:v>81</x:v>
      </x:c>
      <x:c r="H59" s="48" t="n">
        <x:v>-5</x:v>
      </x:c>
      <x:c r="I59" s="48" t="n">
        <x:v>22</x:v>
      </x:c>
      <x:c r="J59" s="48" t="n">
        <x:v>9</x:v>
      </x:c>
      <x:c r="K59" s="48" t="n">
        <x:v>72</x:v>
      </x:c>
      <x:c r="L59" s="48" t="str">
        <x:v>Upside</x:v>
      </x:c>
      <x:c r="M59" s="48" t="str">
        <x:v>Target + spike weeks</x:v>
      </x:c>
      <x:c r="N59" s="48" t="n">
        <x:v>7</x:v>
      </x:c>
      <x:c r="O59" s="48" t="n">
        <x:v>8</x:v>
      </x:c>
      <x:c r="P59" s="48" t="n">
        <x:v>7</x:v>
      </x:c>
      <x:c r="Q59" s="48" t="n">
        <x:v>7</x:v>
      </x:c>
      <x:c r="R59" s="48" t="n">
        <x:v>3</x:v>
      </x:c>
      <x:c r="S59" s="49" t="n">
        <x:f>ROUND(N59*VLOOKUP(L59,'Assumptions'!$A$16:$C$19,2,FALSE)+O59*VLOOKUP(L59,'Assumptions'!$A$16:$C$19,3,FALSE)+(P59-5)*0.10+(Q59-5)*0.08+(I59/10)*0.25-(R59-5)*0.10,1)</x:f>
        <x:v>8.9</x:v>
      </x:c>
      <x:c r="T59" s="47" t="str">
        <x:f>IF(U59&lt;&gt;"Use Model",U59,IF(S59&gt;=8.5,"Priority",IF(S59&gt;=7.6,"Target",IF(S59&gt;=6.8,"Watch","Neutral"))))</x:f>
        <x:v>Target</x:v>
      </x:c>
      <x:c r="U59" s="50" t="str">
        <x:v>Target</x:v>
      </x:c>
      <x:c r="V59" s="51" t="str"/>
      <x:c r="W59" s="51" t="str">
        <x:v>Adds startable target volume and spike-week potential without requiring a rigid positional build.</x:v>
      </x:c>
      <x:c r="X59" s="51" t="str">
        <x:v>The player can be useful without separating enough from readily available waiver-wire alternatives.</x:v>
      </x:c>
      <x:c r="Y59" s="51" t="str">
        <x:v>Use the Turn Board to select the highest remaining player in the same position/value tier.</x:v>
      </x:c>
      <x:c r="Z59" s="51" t="str">
        <x:v>Pair with RB scarcity or premium QB/TE leverage.</x:v>
      </x:c>
      <x:c r="AA59" s="51" t="n">
        <x:v>57</x:v>
      </x:c>
      <x:c r="AB59" s="51" t="n">
        <x:v>72</x:v>
      </x:c>
      <x:c r="AC59" s="51" t="n">
        <x:v>73</x:v>
      </x:c>
      <x:c r="AD59" s="51" t="str">
        <x:v>https://g.espncdn.com/s/ffldraftkit/26/NFL26_CS_PPR300.pdf?adddata=2026CS_PPR300</x:v>
      </x:c>
      <x:c r="AE59" s="51" t="str">
        <x:v>https://fantasyfootballcalculator.com/adp/ppr/8-team/all</x:v>
      </x:c>
      <x:c r="AF59" s="51" t="str">
        <x:v>https://www.rotowire.com/football/article/2026-fantasy-football-rankings-ppr-preseason-week-2-update-129449</x:v>
      </x:c>
      <x:c r="AG59" s="47" t="str">
        <x:f>IF(COUNTIFS('Live Draft'!$D$6:$D$133,8,'Live Draft'!$E$6:$E$133,A59)&gt;0,"My Team",IF(COUNTIF('Live Draft'!$E$6:$E$133,A59)&gt;0,"Other Team","Available"))</x:f>
        <x:v>Available</x:v>
      </x:c>
      <x:c r="AH59" s="52" t="n">
        <x:v>46261</x:v>
      </x:c>
    </x:row>
    <x:row r="60" ht="44" hidden="0" customHeight="1">
      <x:c r="A60" s="46" t="str">
        <x:v>Jayden Daniels</x:v>
      </x:c>
      <x:c r="B60" s="47" t="str">
        <x:v>QB</x:v>
      </x:c>
      <x:c r="C60" s="47" t="str">
        <x:v>WAS</x:v>
      </x:c>
      <x:c r="D60" s="48" t="n">
        <x:v>7</x:v>
      </x:c>
      <x:c r="E60" s="48" t="n">
        <x:v>55</x:v>
      </x:c>
      <x:c r="F60" s="48" t="n">
        <x:v>65</x:v>
      </x:c>
      <x:c r="G60" s="48" t="n">
        <x:v>72</x:v>
      </x:c>
      <x:c r="H60" s="48" t="n">
        <x:v>-10</x:v>
      </x:c>
      <x:c r="I60" s="48" t="n">
        <x:v>7</x:v>
      </x:c>
      <x:c r="J60" s="48" t="n">
        <x:v>9</x:v>
      </x:c>
      <x:c r="K60" s="48" t="n">
        <x:v>72</x:v>
      </x:c>
      <x:c r="L60" s="48" t="str">
        <x:v>Upside</x:v>
      </x:c>
      <x:c r="M60" s="48" t="str">
        <x:v>One-QB value</x:v>
      </x:c>
      <x:c r="N60" s="48" t="n">
        <x:v>6</x:v>
      </x:c>
      <x:c r="O60" s="48" t="n">
        <x:v>10</x:v>
      </x:c>
      <x:c r="P60" s="48" t="n">
        <x:v>6</x:v>
      </x:c>
      <x:c r="Q60" s="48" t="n">
        <x:v>6</x:v>
      </x:c>
      <x:c r="R60" s="48" t="n">
        <x:v>3</x:v>
      </x:c>
      <x:c r="S60" s="49" t="n">
        <x:f>ROUND(N60*VLOOKUP(L60,'Assumptions'!$A$16:$C$19,2,FALSE)+O60*VLOOKUP(L60,'Assumptions'!$A$16:$C$19,3,FALSE)+(P60-5)*0.10+(Q60-5)*0.08+(I60/10)*0.25-(R60-5)*0.10,1)</x:f>
        <x:v>9.6</x:v>
      </x:c>
      <x:c r="T60" s="47" t="str">
        <x:f>IF(U60&lt;&gt;"Use Model",U60,IF(S60&gt;=8.5,"Priority",IF(S60&gt;=7.6,"Target",IF(S60&gt;=6.8,"Watch","Neutral"))))</x:f>
        <x:v>Target</x:v>
      </x:c>
      <x:c r="U60" s="50" t="str">
        <x:v>Target</x:v>
      </x:c>
      <x:c r="V60" s="51" t="str"/>
      <x:c r="W60" s="51" t="str">
        <x:v>Market discount makes him a high-ceiling Round 9 option if the room follows ESPN rank less aggressively.</x:v>
      </x:c>
      <x:c r="X60" s="51" t="str">
        <x:v>Model rank is cooler than ESPN, so do not chase him into the sixth round.</x:v>
      </x:c>
      <x:c r="Y60" s="51" t="str">
        <x:v>Lamar Jackson; Drake Maye; Dak Prescott</x:v>
      </x:c>
      <x:c r="Z60" s="51" t="str">
        <x:v>Do not draft a second QB.</x:v>
      </x:c>
      <x:c r="AA60" s="51" t="n">
        <x:v>57</x:v>
      </x:c>
      <x:c r="AB60" s="51" t="n">
        <x:v>72</x:v>
      </x:c>
      <x:c r="AC60" s="51" t="n">
        <x:v>73</x:v>
      </x:c>
      <x:c r="AD60" s="51" t="str">
        <x:v>https://g.espncdn.com/s/ffldraftkit/26/NFL26_CS_PPR300.pdf?adddata=2026CS_PPR300</x:v>
      </x:c>
      <x:c r="AE60" s="51" t="str">
        <x:v>https://fantasyfootballcalculator.com/adp/ppr/8-team/all</x:v>
      </x:c>
      <x:c r="AF60" s="51" t="str">
        <x:v>https://www.rotowire.com/football/article/2026-fantasy-football-rankings-ppr-preseason-week-2-update-129449</x:v>
      </x:c>
      <x:c r="AG60" s="47" t="str">
        <x:f>IF(COUNTIFS('Live Draft'!$D$6:$D$133,8,'Live Draft'!$E$6:$E$133,A60)&gt;0,"My Team",IF(COUNTIF('Live Draft'!$E$6:$E$133,A60)&gt;0,"Other Team","Available"))</x:f>
        <x:v>Available</x:v>
      </x:c>
      <x:c r="AH60" s="52" t="n">
        <x:v>46261</x:v>
      </x:c>
    </x:row>
    <x:row r="61" ht="44" hidden="0" customHeight="1">
      <x:c r="A61" s="46" t="str">
        <x:v>Lamar Jackson</x:v>
      </x:c>
      <x:c r="B61" s="47" t="str">
        <x:v>QB</x:v>
      </x:c>
      <x:c r="C61" s="47" t="str">
        <x:v>BAL</x:v>
      </x:c>
      <x:c r="D61" s="48" t="n">
        <x:v>13</x:v>
      </x:c>
      <x:c r="E61" s="48" t="n">
        <x:v>56</x:v>
      </x:c>
      <x:c r="F61" s="48" t="n">
        <x:v>51</x:v>
      </x:c>
      <x:c r="G61" s="48" t="n">
        <x:v>57</x:v>
      </x:c>
      <x:c r="H61" s="48" t="n">
        <x:v>5</x:v>
      </x:c>
      <x:c r="I61" s="48" t="n">
        <x:v>6</x:v>
      </x:c>
      <x:c r="J61" s="48" t="n">
        <x:v>7</x:v>
      </x:c>
      <x:c r="K61" s="48" t="n">
        <x:v>56</x:v>
      </x:c>
      <x:c r="L61" s="48" t="str">
        <x:v>Upside</x:v>
      </x:c>
      <x:c r="M61" s="48" t="str">
        <x:v>One-QB value</x:v>
      </x:c>
      <x:c r="N61" s="48" t="n">
        <x:v>9</x:v>
      </x:c>
      <x:c r="O61" s="48" t="n">
        <x:v>10</x:v>
      </x:c>
      <x:c r="P61" s="48" t="n">
        <x:v>7</x:v>
      </x:c>
      <x:c r="Q61" s="48" t="n">
        <x:v>7</x:v>
      </x:c>
      <x:c r="R61" s="48" t="n">
        <x:v>3</x:v>
      </x:c>
      <x:c r="S61" s="49" t="n">
        <x:f>ROUND(N61*VLOOKUP(L61,'Assumptions'!$A$16:$C$19,2,FALSE)+O61*VLOOKUP(L61,'Assumptions'!$A$16:$C$19,3,FALSE)+(P61-5)*0.10+(Q61-5)*0.08+(I61/10)*0.25-(R61-5)*0.10,1)</x:f>
        <x:v>10.5</x:v>
      </x:c>
      <x:c r="T61" s="47" t="str">
        <x:f>IF(U61&lt;&gt;"Use Model",U61,IF(S61&gt;=8.5,"Priority",IF(S61&gt;=7.6,"Target",IF(S61&gt;=6.8,"Watch","Neutral"))))</x:f>
        <x:v>Target</x:v>
      </x:c>
      <x:c r="U61" s="50" t="str">
        <x:v>Target</x:v>
      </x:c>
      <x:c r="V61" s="51" t="str"/>
      <x:c r="W61" s="51" t="str">
        <x:v>Ideal premium-QB checkpoint at 7.08/8.01. Do not force QB earlier unless Allen falls.</x:v>
      </x:c>
      <x:c r="X61" s="51" t="str">
        <x:v>Taking him before the sixth-round turn costs a stronger FLEX asset in a two-FLEX league.</x:v>
      </x:c>
      <x:c r="Y61" s="51" t="str">
        <x:v>Drake Maye; Jayden Daniels; Dak Prescott</x:v>
      </x:c>
      <x:c r="Z61" s="51" t="str">
        <x:v>Do not draft a second QB.</x:v>
      </x:c>
      <x:c r="AA61" s="51" t="n">
        <x:v>41</x:v>
      </x:c>
      <x:c r="AB61" s="51" t="n">
        <x:v>56</x:v>
      </x:c>
      <x:c r="AC61" s="51" t="n">
        <x:v>57</x:v>
      </x:c>
      <x:c r="AD61" s="51" t="str">
        <x:v>https://g.espncdn.com/s/ffldraftkit/26/NFL26_CS_PPR300.pdf?adddata=2026CS_PPR300</x:v>
      </x:c>
      <x:c r="AE61" s="51" t="str">
        <x:v>https://fantasyfootballcalculator.com/adp/ppr/8-team/all</x:v>
      </x:c>
      <x:c r="AF61" s="51" t="str">
        <x:v>https://www.rotowire.com/football/article/2026-fantasy-football-rankings-ppr-preseason-week-2-update-129449</x:v>
      </x:c>
      <x:c r="AG61" s="47" t="str">
        <x:f>IF(COUNTIFS('Live Draft'!$D$6:$D$133,8,'Live Draft'!$E$6:$E$133,A61)&gt;0,"My Team",IF(COUNTIF('Live Draft'!$E$6:$E$133,A61)&gt;0,"Other Team","Available"))</x:f>
        <x:v>Available</x:v>
      </x:c>
      <x:c r="AH61" s="52" t="n">
        <x:v>46261</x:v>
      </x:c>
    </x:row>
    <x:row r="62" ht="44" hidden="0" customHeight="1">
      <x:c r="A62" s="46" t="str">
        <x:v>Drake Maye</x:v>
      </x:c>
      <x:c r="B62" s="47" t="str">
        <x:v>QB</x:v>
      </x:c>
      <x:c r="C62" s="47" t="str">
        <x:v>NE</x:v>
      </x:c>
      <x:c r="D62" s="48" t="n">
        <x:v>11</x:v>
      </x:c>
      <x:c r="E62" s="48" t="n">
        <x:v>57</x:v>
      </x:c>
      <x:c r="F62" s="48" t="n">
        <x:v>56</x:v>
      </x:c>
      <x:c r="G62" s="48" t="n">
        <x:v>51</x:v>
      </x:c>
      <x:c r="H62" s="48" t="n">
        <x:v>1</x:v>
      </x:c>
      <x:c r="I62" s="48" t="n">
        <x:v>-5</x:v>
      </x:c>
      <x:c r="J62" s="48" t="n">
        <x:v>8</x:v>
      </x:c>
      <x:c r="K62" s="48" t="n">
        <x:v>57</x:v>
      </x:c>
      <x:c r="L62" s="48" t="str">
        <x:v>Upside</x:v>
      </x:c>
      <x:c r="M62" s="48" t="str">
        <x:v>One-QB value</x:v>
      </x:c>
      <x:c r="N62" s="48" t="n">
        <x:v>7</x:v>
      </x:c>
      <x:c r="O62" s="48" t="n">
        <x:v>9</x:v>
      </x:c>
      <x:c r="P62" s="48" t="n">
        <x:v>7</x:v>
      </x:c>
      <x:c r="Q62" s="48" t="n">
        <x:v>7</x:v>
      </x:c>
      <x:c r="R62" s="48" t="n">
        <x:v>3</x:v>
      </x:c>
      <x:c r="S62" s="49" t="n">
        <x:f>ROUND(N62*VLOOKUP(L62,'Assumptions'!$A$16:$C$19,2,FALSE)+O62*VLOOKUP(L62,'Assumptions'!$A$16:$C$19,3,FALSE)+(P62-5)*0.10+(Q62-5)*0.08+(I62/10)*0.25-(R62-5)*0.10,1)</x:f>
        <x:v>8.9</x:v>
      </x:c>
      <x:c r="T62" s="47" t="str">
        <x:f>IF(U62&lt;&gt;"Use Model",U62,IF(S62&gt;=8.5,"Priority",IF(S62&gt;=7.6,"Target",IF(S62&gt;=6.8,"Watch","Neutral"))))</x:f>
        <x:v>Target</x:v>
      </x:c>
      <x:c r="U62" s="50" t="str">
        <x:v>Target</x:v>
      </x:c>
      <x:c r="V62" s="51" t="str"/>
      <x:c r="W62" s="51" t="str">
        <x:v>A strong rushing/ceiling alternative when Lamar is gone; reasonable around the seventh-round turn.</x:v>
      </x:c>
      <x:c r="X62" s="51" t="str">
        <x:v>His ESPN price is already slightly aggressive versus the broader market.</x:v>
      </x:c>
      <x:c r="Y62" s="51" t="str">
        <x:v>Lamar Jackson; Jayden Daniels; Dak Prescott</x:v>
      </x:c>
      <x:c r="Z62" s="51" t="str">
        <x:v>Do not draft a second QB.</x:v>
      </x:c>
      <x:c r="AA62" s="51" t="n">
        <x:v>56</x:v>
      </x:c>
      <x:c r="AB62" s="51" t="n">
        <x:v>57</x:v>
      </x:c>
      <x:c r="AC62" s="51" t="n">
        <x:v>72</x:v>
      </x:c>
      <x:c r="AD62" s="51" t="str">
        <x:v>https://g.espncdn.com/s/ffldraftkit/26/NFL26_CS_PPR300.pdf?adddata=2026CS_PPR300</x:v>
      </x:c>
      <x:c r="AE62" s="51" t="str">
        <x:v>https://fantasyfootballcalculator.com/adp/ppr/8-team/all</x:v>
      </x:c>
      <x:c r="AF62" s="51" t="str">
        <x:v>https://www.rotowire.com/football/article/2026-fantasy-football-rankings-ppr-preseason-week-2-update-129449</x:v>
      </x:c>
      <x:c r="AG62" s="47" t="str">
        <x:f>IF(COUNTIFS('Live Draft'!$D$6:$D$133,8,'Live Draft'!$E$6:$E$133,A62)&gt;0,"My Team",IF(COUNTIF('Live Draft'!$E$6:$E$133,A62)&gt;0,"Other Team","Available"))</x:f>
        <x:v>Available</x:v>
      </x:c>
      <x:c r="AH62" s="52" t="n">
        <x:v>46261</x:v>
      </x:c>
    </x:row>
    <x:row r="63" ht="44" hidden="0" customHeight="1">
      <x:c r="A63" s="46" t="str">
        <x:v>Jalen Hurts</x:v>
      </x:c>
      <x:c r="B63" s="47" t="str">
        <x:v>QB</x:v>
      </x:c>
      <x:c r="C63" s="47" t="str">
        <x:v>PHI</x:v>
      </x:c>
      <x:c r="D63" s="48" t="n">
        <x:v>10</x:v>
      </x:c>
      <x:c r="E63" s="48" t="n">
        <x:v>58</x:v>
      </x:c>
      <x:c r="F63" s="48" t="n">
        <x:v>72</x:v>
      </x:c>
      <x:c r="G63" s="48" t="n">
        <x:v>82</x:v>
      </x:c>
      <x:c r="H63" s="48" t="n">
        <x:v>-14</x:v>
      </x:c>
      <x:c r="I63" s="48" t="n">
        <x:v>10</x:v>
      </x:c>
      <x:c r="J63" s="48" t="n">
        <x:v>10</x:v>
      </x:c>
      <x:c r="K63" s="48" t="n">
        <x:v>73</x:v>
      </x:c>
      <x:c r="L63" s="48" t="str">
        <x:v>Upside</x:v>
      </x:c>
      <x:c r="M63" s="48" t="str">
        <x:v>One-QB value</x:v>
      </x:c>
      <x:c r="N63" s="48" t="n">
        <x:v>6</x:v>
      </x:c>
      <x:c r="O63" s="48" t="n">
        <x:v>7</x:v>
      </x:c>
      <x:c r="P63" s="48" t="n">
        <x:v>6</x:v>
      </x:c>
      <x:c r="Q63" s="48" t="n">
        <x:v>6</x:v>
      </x:c>
      <x:c r="R63" s="48" t="n">
        <x:v>3</x:v>
      </x:c>
      <x:c r="S63" s="49" t="n">
        <x:f>ROUND(N63*VLOOKUP(L63,'Assumptions'!$A$16:$C$19,2,FALSE)+O63*VLOOKUP(L63,'Assumptions'!$A$16:$C$19,3,FALSE)+(P63-5)*0.10+(Q63-5)*0.08+(I63/10)*0.25-(R63-5)*0.10,1)</x:f>
        <x:v>7.4</x:v>
      </x:c>
      <x:c r="T63" s="47" t="str">
        <x:f>IF(U63&lt;&gt;"Use Model",U63,IF(S63&gt;=8.5,"Priority",IF(S63&gt;=7.6,"Target",IF(S63&gt;=6.8,"Watch","Neutral"))))</x:f>
        <x:v>Watch</x:v>
      </x:c>
      <x:c r="U63" s="50" t="str">
        <x:v>Use Model</x:v>
      </x:c>
      <x:c r="V63" s="51" t="str"/>
      <x:c r="W63" s="51" t="str">
        <x:v>Provides one-QB scoring leverage without sacrificing the early RB/WR foundation.</x:v>
      </x:c>
      <x:c r="X63" s="51" t="str">
        <x:v>The player can be useful without separating enough from readily available waiver-wire alternatives.</x:v>
      </x:c>
      <x:c r="Y63" s="51" t="str">
        <x:v>Use the Turn Board to select the highest remaining player in the same position/value tier.</x:v>
      </x:c>
      <x:c r="Z63" s="51" t="str">
        <x:v>Do not draft a second QB.</x:v>
      </x:c>
      <x:c r="AA63" s="51" t="n">
        <x:v>72</x:v>
      </x:c>
      <x:c r="AB63" s="51" t="n">
        <x:v>73</x:v>
      </x:c>
      <x:c r="AC63" s="51" t="n">
        <x:v>88</x:v>
      </x:c>
      <x:c r="AD63" s="51" t="str">
        <x:v>https://g.espncdn.com/s/ffldraftkit/26/NFL26_CS_PPR300.pdf?adddata=2026CS_PPR300</x:v>
      </x:c>
      <x:c r="AE63" s="51" t="str">
        <x:v>https://fantasyfootballcalculator.com/adp/ppr/8-team/all</x:v>
      </x:c>
      <x:c r="AF63" s="51" t="str">
        <x:v>https://www.rotowire.com/football/article/2026-fantasy-football-rankings-ppr-preseason-week-2-update-129449</x:v>
      </x:c>
      <x:c r="AG63" s="47" t="str">
        <x:f>IF(COUNTIFS('Live Draft'!$D$6:$D$133,8,'Live Draft'!$E$6:$E$133,A63)&gt;0,"My Team",IF(COUNTIF('Live Draft'!$E$6:$E$133,A63)&gt;0,"Other Team","Available"))</x:f>
        <x:v>Available</x:v>
      </x:c>
      <x:c r="AH63" s="52" t="n">
        <x:v>46261</x:v>
      </x:c>
    </x:row>
    <x:row r="64" ht="44" hidden="0" customHeight="1">
      <x:c r="A64" s="46" t="str">
        <x:v>Bhayshul Tuten</x:v>
      </x:c>
      <x:c r="B64" s="47" t="str">
        <x:v>RB</x:v>
      </x:c>
      <x:c r="C64" s="47" t="str">
        <x:v>JAX</x:v>
      </x:c>
      <x:c r="D64" s="48" t="n">
        <x:v>7</x:v>
      </x:c>
      <x:c r="E64" s="48" t="n">
        <x:v>59</x:v>
      </x:c>
      <x:c r="F64" s="48" t="n">
        <x:v>67</x:v>
      </x:c>
      <x:c r="G64" s="48" t="n">
        <x:v>52</x:v>
      </x:c>
      <x:c r="H64" s="48" t="n">
        <x:v>-8</x:v>
      </x:c>
      <x:c r="I64" s="48" t="n">
        <x:v>-15</x:v>
      </x:c>
      <x:c r="J64" s="48" t="n">
        <x:v>8</x:v>
      </x:c>
      <x:c r="K64" s="48" t="n">
        <x:v>57</x:v>
      </x:c>
      <x:c r="L64" s="48" t="str">
        <x:v>Upside</x:v>
      </x:c>
      <x:c r="M64" s="48" t="str">
        <x:v>Volume + contingency</x:v>
      </x:c>
      <x:c r="N64" s="48" t="n">
        <x:v>6</x:v>
      </x:c>
      <x:c r="O64" s="48" t="n">
        <x:v>7</x:v>
      </x:c>
      <x:c r="P64" s="48" t="n">
        <x:v>6</x:v>
      </x:c>
      <x:c r="Q64" s="48" t="n">
        <x:v>6</x:v>
      </x:c>
      <x:c r="R64" s="48" t="n">
        <x:v>3</x:v>
      </x:c>
      <x:c r="S64" s="49" t="n">
        <x:f>ROUND(N64*VLOOKUP(L64,'Assumptions'!$A$16:$C$19,2,FALSE)+O64*VLOOKUP(L64,'Assumptions'!$A$16:$C$19,3,FALSE)+(P64-5)*0.10+(Q64-5)*0.08+(I64/10)*0.25-(R64-5)*0.10,1)</x:f>
        <x:v>6.8</x:v>
      </x:c>
      <x:c r="T64" s="47" t="str">
        <x:f>IF(U64&lt;&gt;"Use Model",U64,IF(S64&gt;=8.5,"Priority",IF(S64&gt;=7.6,"Target",IF(S64&gt;=6.8,"Watch","Neutral"))))</x:f>
        <x:v>Fade</x:v>
      </x:c>
      <x:c r="U64" s="50" t="str">
        <x:v>Fade</x:v>
      </x:c>
      <x:c r="V64" s="51" t="str"/>
      <x:c r="W64" s="51" t="str">
        <x:v>Fits the two-FLEX build by adding either bankable touches or contingent workload at the correct price.</x:v>
      </x:c>
      <x:c r="X64" s="51" t="str">
        <x:v>The player can be useful without separating enough from readily available waiver-wire alternatives.</x:v>
      </x:c>
      <x:c r="Y64" s="51" t="str">
        <x:v>Use the Turn Board to select the highest remaining player in the same position/value tier.</x:v>
      </x:c>
      <x:c r="Z64" s="51" t="str">
        <x:v>Pair with a WR at the same turn unless he is a clear faller.</x:v>
      </x:c>
      <x:c r="AA64" s="51" t="n">
        <x:v>56</x:v>
      </x:c>
      <x:c r="AB64" s="51" t="n">
        <x:v>57</x:v>
      </x:c>
      <x:c r="AC64" s="51" t="n">
        <x:v>72</x:v>
      </x:c>
      <x:c r="AD64" s="51" t="str">
        <x:v>https://g.espncdn.com/s/ffldraftkit/26/NFL26_CS_PPR300.pdf?adddata=2026CS_PPR300</x:v>
      </x:c>
      <x:c r="AE64" s="51" t="str">
        <x:v>https://fantasyfootballcalculator.com/adp/ppr/8-team/all</x:v>
      </x:c>
      <x:c r="AF64" s="51" t="str">
        <x:v>https://www.rotowire.com/football/article/2026-fantasy-football-rankings-ppr-preseason-week-2-update-129449</x:v>
      </x:c>
      <x:c r="AG64" s="47" t="str">
        <x:f>IF(COUNTIFS('Live Draft'!$D$6:$D$133,8,'Live Draft'!$E$6:$E$133,A64)&gt;0,"My Team",IF(COUNTIF('Live Draft'!$E$6:$E$133,A64)&gt;0,"Other Team","Available"))</x:f>
        <x:v>Available</x:v>
      </x:c>
      <x:c r="AH64" s="52" t="n">
        <x:v>46261</x:v>
      </x:c>
    </x:row>
    <x:row r="65" ht="44" hidden="0" customHeight="1">
      <x:c r="A65" s="46" t="str">
        <x:v>D'Andre Swift</x:v>
      </x:c>
      <x:c r="B65" s="47" t="str">
        <x:v>RB</x:v>
      </x:c>
      <x:c r="C65" s="47" t="str">
        <x:v>CHI</x:v>
      </x:c>
      <x:c r="D65" s="48" t="n">
        <x:v>10</x:v>
      </x:c>
      <x:c r="E65" s="48" t="n">
        <x:v>60</x:v>
      </x:c>
      <x:c r="F65" s="48" t="n">
        <x:v>49</x:v>
      </x:c>
      <x:c r="G65" s="48" t="n">
        <x:v>47</x:v>
      </x:c>
      <x:c r="H65" s="48" t="n">
        <x:v>11</x:v>
      </x:c>
      <x:c r="I65" s="48" t="n">
        <x:v>-2</x:v>
      </x:c>
      <x:c r="J65" s="48" t="n">
        <x:v>6</x:v>
      </x:c>
      <x:c r="K65" s="48" t="n">
        <x:v>41</x:v>
      </x:c>
      <x:c r="L65" s="48" t="str">
        <x:v>Build</x:v>
      </x:c>
      <x:c r="M65" s="48" t="str">
        <x:v>Volume + contingency</x:v>
      </x:c>
      <x:c r="N65" s="48" t="n">
        <x:v>7</x:v>
      </x:c>
      <x:c r="O65" s="48" t="n">
        <x:v>8</x:v>
      </x:c>
      <x:c r="P65" s="48" t="n">
        <x:v>7</x:v>
      </x:c>
      <x:c r="Q65" s="48" t="n">
        <x:v>7</x:v>
      </x:c>
      <x:c r="R65" s="48" t="n">
        <x:v>3</x:v>
      </x:c>
      <x:c r="S65" s="49" t="n">
        <x:f>ROUND(N65*VLOOKUP(L65,'Assumptions'!$A$16:$C$19,2,FALSE)+O65*VLOOKUP(L65,'Assumptions'!$A$16:$C$19,3,FALSE)+(P65-5)*0.10+(Q65-5)*0.08+(I65/10)*0.25-(R65-5)*0.10,1)</x:f>
        <x:v>8.1</x:v>
      </x:c>
      <x:c r="T65" s="47" t="str">
        <x:f>IF(U65&lt;&gt;"Use Model",U65,IF(S65&gt;=8.5,"Priority",IF(S65&gt;=7.6,"Target",IF(S65&gt;=6.8,"Watch","Neutral"))))</x:f>
        <x:v>Target</x:v>
      </x:c>
      <x:c r="U65" s="50" t="str">
        <x:v>Use Model</x:v>
      </x:c>
      <x:c r="V65" s="51" t="str"/>
      <x:c r="W65" s="51" t="str">
        <x:v>Fits the two-FLEX build by adding either bankable touches or contingent workload at the correct price.</x:v>
      </x:c>
      <x:c r="X65" s="51" t="str">
        <x:v>The player can be useful without separating enough from readily available waiver-wire alternatives.</x:v>
      </x:c>
      <x:c r="Y65" s="51" t="str">
        <x:v>Use the Turn Board to select the highest remaining player in the same position/value tier.</x:v>
      </x:c>
      <x:c r="Z65" s="51" t="str">
        <x:v>Pair with a WR at the same turn unless he is a clear faller.</x:v>
      </x:c>
      <x:c r="AA65" s="51" t="n">
        <x:v>40</x:v>
      </x:c>
      <x:c r="AB65" s="51" t="n">
        <x:v>41</x:v>
      </x:c>
      <x:c r="AC65" s="51" t="n">
        <x:v>56</x:v>
      </x:c>
      <x:c r="AD65" s="51" t="str">
        <x:v>https://g.espncdn.com/s/ffldraftkit/26/NFL26_CS_PPR300.pdf?adddata=2026CS_PPR300</x:v>
      </x:c>
      <x:c r="AE65" s="51" t="str">
        <x:v>https://fantasyfootballcalculator.com/adp/ppr/8-team/all</x:v>
      </x:c>
      <x:c r="AF65" s="51" t="str">
        <x:v>https://www.rotowire.com/football/article/2026-fantasy-football-rankings-ppr-preseason-week-2-update-129449</x:v>
      </x:c>
      <x:c r="AG65" s="47" t="str">
        <x:f>IF(COUNTIFS('Live Draft'!$D$6:$D$133,8,'Live Draft'!$E$6:$E$133,A65)&gt;0,"My Team",IF(COUNTIF('Live Draft'!$E$6:$E$133,A65)&gt;0,"Other Team","Available"))</x:f>
        <x:v>Available</x:v>
      </x:c>
      <x:c r="AH65" s="52" t="n">
        <x:v>46261</x:v>
      </x:c>
    </x:row>
    <x:row r="66" ht="44" hidden="0" customHeight="1">
      <x:c r="A66" s="46" t="str">
        <x:v>David Montgomery</x:v>
      </x:c>
      <x:c r="B66" s="47" t="str">
        <x:v>RB</x:v>
      </x:c>
      <x:c r="C66" s="47" t="str">
        <x:v>HOU</x:v>
      </x:c>
      <x:c r="D66" s="48" t="n">
        <x:v>8</x:v>
      </x:c>
      <x:c r="E66" s="48" t="n">
        <x:v>61</x:v>
      </x:c>
      <x:c r="F66" s="48" t="n">
        <x:v>53</x:v>
      </x:c>
      <x:c r="G66" s="48" t="n">
        <x:v>59</x:v>
      </x:c>
      <x:c r="H66" s="48" t="n">
        <x:v>8</x:v>
      </x:c>
      <x:c r="I66" s="48" t="n">
        <x:v>6</x:v>
      </x:c>
      <x:c r="J66" s="48" t="n">
        <x:v>7</x:v>
      </x:c>
      <x:c r="K66" s="48" t="n">
        <x:v>56</x:v>
      </x:c>
      <x:c r="L66" s="48" t="str">
        <x:v>Upside</x:v>
      </x:c>
      <x:c r="M66" s="48" t="str">
        <x:v>Volume + contingency</x:v>
      </x:c>
      <x:c r="N66" s="48" t="n">
        <x:v>7</x:v>
      </x:c>
      <x:c r="O66" s="48" t="n">
        <x:v>8</x:v>
      </x:c>
      <x:c r="P66" s="48" t="n">
        <x:v>7</x:v>
      </x:c>
      <x:c r="Q66" s="48" t="n">
        <x:v>7</x:v>
      </x:c>
      <x:c r="R66" s="48" t="n">
        <x:v>3</x:v>
      </x:c>
      <x:c r="S66" s="49" t="n">
        <x:f>ROUND(N66*VLOOKUP(L66,'Assumptions'!$A$16:$C$19,2,FALSE)+O66*VLOOKUP(L66,'Assumptions'!$A$16:$C$19,3,FALSE)+(P66-5)*0.10+(Q66-5)*0.08+(I66/10)*0.25-(R66-5)*0.10,1)</x:f>
        <x:v>8.5</x:v>
      </x:c>
      <x:c r="T66" s="47" t="str">
        <x:f>IF(U66&lt;&gt;"Use Model",U66,IF(S66&gt;=8.5,"Priority",IF(S66&gt;=7.6,"Target",IF(S66&gt;=6.8,"Watch","Neutral"))))</x:f>
        <x:v>Priority</x:v>
      </x:c>
      <x:c r="U66" s="50" t="str">
        <x:v>Use Model</x:v>
      </x:c>
      <x:c r="V66" s="51" t="str"/>
      <x:c r="W66" s="51" t="str">
        <x:v>Fits the two-FLEX build by adding either bankable touches or contingent workload at the correct price.</x:v>
      </x:c>
      <x:c r="X66" s="51" t="str">
        <x:v>The player can be useful without separating enough from readily available waiver-wire alternatives.</x:v>
      </x:c>
      <x:c r="Y66" s="51" t="str">
        <x:v>Use the Turn Board to select the highest remaining player in the same position/value tier.</x:v>
      </x:c>
      <x:c r="Z66" s="51" t="str">
        <x:v>Pair with a WR at the same turn unless he is a clear faller.</x:v>
      </x:c>
      <x:c r="AA66" s="51" t="n">
        <x:v>41</x:v>
      </x:c>
      <x:c r="AB66" s="51" t="n">
        <x:v>56</x:v>
      </x:c>
      <x:c r="AC66" s="51" t="n">
        <x:v>57</x:v>
      </x:c>
      <x:c r="AD66" s="51" t="str">
        <x:v>https://g.espncdn.com/s/ffldraftkit/26/NFL26_CS_PPR300.pdf?adddata=2026CS_PPR300</x:v>
      </x:c>
      <x:c r="AE66" s="51" t="str">
        <x:v>https://fantasyfootballcalculator.com/adp/ppr/8-team/all</x:v>
      </x:c>
      <x:c r="AF66" s="51" t="str">
        <x:v>https://www.rotowire.com/football/article/2026-fantasy-football-rankings-ppr-preseason-week-2-update-129449</x:v>
      </x:c>
      <x:c r="AG66" s="47" t="str">
        <x:f>IF(COUNTIFS('Live Draft'!$D$6:$D$133,8,'Live Draft'!$E$6:$E$133,A66)&gt;0,"My Team",IF(COUNTIF('Live Draft'!$E$6:$E$133,A66)&gt;0,"Other Team","Available"))</x:f>
        <x:v>Available</x:v>
      </x:c>
      <x:c r="AH66" s="52" t="n">
        <x:v>46261</x:v>
      </x:c>
    </x:row>
    <x:row r="67" ht="44" hidden="0" customHeight="1">
      <x:c r="A67" s="46" t="str">
        <x:v>Jadarian Price</x:v>
      </x:c>
      <x:c r="B67" s="47" t="str">
        <x:v>RB</x:v>
      </x:c>
      <x:c r="C67" s="47" t="str">
        <x:v>SEA</x:v>
      </x:c>
      <x:c r="D67" s="48" t="n">
        <x:v>11</x:v>
      </x:c>
      <x:c r="E67" s="48" t="n">
        <x:v>62</x:v>
      </x:c>
      <x:c r="F67" s="48" t="n">
        <x:v>64</x:v>
      </x:c>
      <x:c r="G67" s="48" t="n">
        <x:v>76</x:v>
      </x:c>
      <x:c r="H67" s="48" t="n">
        <x:v>-2</x:v>
      </x:c>
      <x:c r="I67" s="48" t="n">
        <x:v>12</x:v>
      </x:c>
      <x:c r="J67" s="48" t="n">
        <x:v>9</x:v>
      </x:c>
      <x:c r="K67" s="48" t="n">
        <x:v>72</x:v>
      </x:c>
      <x:c r="L67" s="48" t="str">
        <x:v>Upside</x:v>
      </x:c>
      <x:c r="M67" s="48" t="str">
        <x:v>Volume + contingency</x:v>
      </x:c>
      <x:c r="N67" s="48" t="n">
        <x:v>6</x:v>
      </x:c>
      <x:c r="O67" s="48" t="n">
        <x:v>7</x:v>
      </x:c>
      <x:c r="P67" s="48" t="n">
        <x:v>6</x:v>
      </x:c>
      <x:c r="Q67" s="48" t="n">
        <x:v>6</x:v>
      </x:c>
      <x:c r="R67" s="48" t="n">
        <x:v>3</x:v>
      </x:c>
      <x:c r="S67" s="49" t="n">
        <x:f>ROUND(N67*VLOOKUP(L67,'Assumptions'!$A$16:$C$19,2,FALSE)+O67*VLOOKUP(L67,'Assumptions'!$A$16:$C$19,3,FALSE)+(P67-5)*0.10+(Q67-5)*0.08+(I67/10)*0.25-(R67-5)*0.10,1)</x:f>
        <x:v>7.4</x:v>
      </x:c>
      <x:c r="T67" s="47" t="str">
        <x:f>IF(U67&lt;&gt;"Use Model",U67,IF(S67&gt;=8.5,"Priority",IF(S67&gt;=7.6,"Target",IF(S67&gt;=6.8,"Watch","Neutral"))))</x:f>
        <x:v>Target</x:v>
      </x:c>
      <x:c r="U67" s="50" t="str">
        <x:v>Target</x:v>
      </x:c>
      <x:c r="V67" s="51" t="str"/>
      <x:c r="W67" s="51" t="str">
        <x:v>Fits the two-FLEX build by adding either bankable touches or contingent workload at the correct price.</x:v>
      </x:c>
      <x:c r="X67" s="51" t="str">
        <x:v>The player can be useful without separating enough from readily available waiver-wire alternatives.</x:v>
      </x:c>
      <x:c r="Y67" s="51" t="str">
        <x:v>Use the Turn Board to select the highest remaining player in the same position/value tier.</x:v>
      </x:c>
      <x:c r="Z67" s="51" t="str">
        <x:v>Pair with a WR at the same turn unless he is a clear faller.</x:v>
      </x:c>
      <x:c r="AA67" s="51" t="n">
        <x:v>57</x:v>
      </x:c>
      <x:c r="AB67" s="51" t="n">
        <x:v>72</x:v>
      </x:c>
      <x:c r="AC67" s="51" t="n">
        <x:v>73</x:v>
      </x:c>
      <x:c r="AD67" s="51" t="str">
        <x:v>https://g.espncdn.com/s/ffldraftkit/26/NFL26_CS_PPR300.pdf?adddata=2026CS_PPR300</x:v>
      </x:c>
      <x:c r="AE67" s="51" t="str">
        <x:v>https://fantasyfootballcalculator.com/adp/ppr/8-team/all</x:v>
      </x:c>
      <x:c r="AF67" s="51" t="str">
        <x:v>https://www.rotowire.com/football/article/2026-fantasy-football-rankings-ppr-preseason-week-2-update-129449</x:v>
      </x:c>
      <x:c r="AG67" s="47" t="str">
        <x:f>IF(COUNTIFS('Live Draft'!$D$6:$D$133,8,'Live Draft'!$E$6:$E$133,A67)&gt;0,"My Team",IF(COUNTIF('Live Draft'!$E$6:$E$133,A67)&gt;0,"Other Team","Available"))</x:f>
        <x:v>Available</x:v>
      </x:c>
      <x:c r="AH67" s="52" t="n">
        <x:v>46261</x:v>
      </x:c>
    </x:row>
    <x:row r="68" ht="44" hidden="0" customHeight="1">
      <x:c r="A68" s="46" t="str">
        <x:v>TreVeyon Henderson</x:v>
      </x:c>
      <x:c r="B68" s="47" t="str">
        <x:v>RB</x:v>
      </x:c>
      <x:c r="C68" s="47" t="str">
        <x:v>NE</x:v>
      </x:c>
      <x:c r="D68" s="48" t="n">
        <x:v>11</x:v>
      </x:c>
      <x:c r="E68" s="48" t="n">
        <x:v>63</x:v>
      </x:c>
      <x:c r="F68" s="48" t="n">
        <x:v>62</x:v>
      </x:c>
      <x:c r="G68" s="48" t="n">
        <x:v>63</x:v>
      </x:c>
      <x:c r="H68" s="48" t="n">
        <x:v>1</x:v>
      </x:c>
      <x:c r="I68" s="48" t="n">
        <x:v>1</x:v>
      </x:c>
      <x:c r="J68" s="48" t="n">
        <x:v>8</x:v>
      </x:c>
      <x:c r="K68" s="48" t="n">
        <x:v>57</x:v>
      </x:c>
      <x:c r="L68" s="48" t="str">
        <x:v>Upside</x:v>
      </x:c>
      <x:c r="M68" s="48" t="str">
        <x:v>Volume + contingency</x:v>
      </x:c>
      <x:c r="N68" s="48" t="n">
        <x:v>6</x:v>
      </x:c>
      <x:c r="O68" s="48" t="n">
        <x:v>7</x:v>
      </x:c>
      <x:c r="P68" s="48" t="n">
        <x:v>6</x:v>
      </x:c>
      <x:c r="Q68" s="48" t="n">
        <x:v>6</x:v>
      </x:c>
      <x:c r="R68" s="48" t="n">
        <x:v>3</x:v>
      </x:c>
      <x:c r="S68" s="49" t="n">
        <x:f>ROUND(N68*VLOOKUP(L68,'Assumptions'!$A$16:$C$19,2,FALSE)+O68*VLOOKUP(L68,'Assumptions'!$A$16:$C$19,3,FALSE)+(P68-5)*0.10+(Q68-5)*0.08+(I68/10)*0.25-(R68-5)*0.10,1)</x:f>
        <x:v>7.2</x:v>
      </x:c>
      <x:c r="T68" s="47" t="str">
        <x:f>IF(U68&lt;&gt;"Use Model",U68,IF(S68&gt;=8.5,"Priority",IF(S68&gt;=7.6,"Target",IF(S68&gt;=6.8,"Watch","Neutral"))))</x:f>
        <x:v>Watch</x:v>
      </x:c>
      <x:c r="U68" s="50" t="str">
        <x:v>Use Model</x:v>
      </x:c>
      <x:c r="V68" s="51" t="str"/>
      <x:c r="W68" s="51" t="str">
        <x:v>Fits the two-FLEX build by adding either bankable touches or contingent workload at the correct price.</x:v>
      </x:c>
      <x:c r="X68" s="51" t="str">
        <x:v>The player can be useful without separating enough from readily available waiver-wire alternatives.</x:v>
      </x:c>
      <x:c r="Y68" s="51" t="str">
        <x:v>Use the Turn Board to select the highest remaining player in the same position/value tier.</x:v>
      </x:c>
      <x:c r="Z68" s="51" t="str">
        <x:v>Pair with a WR at the same turn unless he is a clear faller.</x:v>
      </x:c>
      <x:c r="AA68" s="51" t="n">
        <x:v>56</x:v>
      </x:c>
      <x:c r="AB68" s="51" t="n">
        <x:v>57</x:v>
      </x:c>
      <x:c r="AC68" s="51" t="n">
        <x:v>72</x:v>
      </x:c>
      <x:c r="AD68" s="51" t="str">
        <x:v>https://g.espncdn.com/s/ffldraftkit/26/NFL26_CS_PPR300.pdf?adddata=2026CS_PPR300</x:v>
      </x:c>
      <x:c r="AE68" s="51" t="str">
        <x:v>https://fantasyfootballcalculator.com/adp/ppr/8-team/all</x:v>
      </x:c>
      <x:c r="AF68" s="51" t="str">
        <x:v>https://www.rotowire.com/football/article/2026-fantasy-football-rankings-ppr-preseason-week-2-update-129449</x:v>
      </x:c>
      <x:c r="AG68" s="47" t="str">
        <x:f>IF(COUNTIFS('Live Draft'!$D$6:$D$133,8,'Live Draft'!$E$6:$E$133,A68)&gt;0,"My Team",IF(COUNTIF('Live Draft'!$E$6:$E$133,A68)&gt;0,"Other Team","Available"))</x:f>
        <x:v>Available</x:v>
      </x:c>
      <x:c r="AH68" s="52" t="n">
        <x:v>46261</x:v>
      </x:c>
    </x:row>
    <x:row r="69" ht="44" hidden="0" customHeight="1">
      <x:c r="A69" s="46" t="str">
        <x:v>Rhamondre Stevenson</x:v>
      </x:c>
      <x:c r="B69" s="47" t="str">
        <x:v>RB</x:v>
      </x:c>
      <x:c r="C69" s="47" t="str">
        <x:v>NE</x:v>
      </x:c>
      <x:c r="D69" s="48" t="n">
        <x:v>11</x:v>
      </x:c>
      <x:c r="E69" s="48" t="n">
        <x:v>64</x:v>
      </x:c>
      <x:c r="F69" s="48" t="n">
        <x:v>80</x:v>
      </x:c>
      <x:c r="G69" s="48" t="n">
        <x:v>66</x:v>
      </x:c>
      <x:c r="H69" s="48" t="n">
        <x:v>-16</x:v>
      </x:c>
      <x:c r="I69" s="48" t="n">
        <x:v>-14</x:v>
      </x:c>
      <x:c r="J69" s="48" t="n">
        <x:v>10</x:v>
      </x:c>
      <x:c r="K69" s="48" t="n">
        <x:v>73</x:v>
      </x:c>
      <x:c r="L69" s="48" t="str">
        <x:v>Upside</x:v>
      </x:c>
      <x:c r="M69" s="48" t="str">
        <x:v>Volume + contingency</x:v>
      </x:c>
      <x:c r="N69" s="48" t="n">
        <x:v>6</x:v>
      </x:c>
      <x:c r="O69" s="48" t="n">
        <x:v>7</x:v>
      </x:c>
      <x:c r="P69" s="48" t="n">
        <x:v>6</x:v>
      </x:c>
      <x:c r="Q69" s="48" t="n">
        <x:v>6</x:v>
      </x:c>
      <x:c r="R69" s="48" t="n">
        <x:v>3</x:v>
      </x:c>
      <x:c r="S69" s="49" t="n">
        <x:f>ROUND(N69*VLOOKUP(L69,'Assumptions'!$A$16:$C$19,2,FALSE)+O69*VLOOKUP(L69,'Assumptions'!$A$16:$C$19,3,FALSE)+(P69-5)*0.10+(Q69-5)*0.08+(I69/10)*0.25-(R69-5)*0.10,1)</x:f>
        <x:v>6.8</x:v>
      </x:c>
      <x:c r="T69" s="47" t="str">
        <x:f>IF(U69&lt;&gt;"Use Model",U69,IF(S69&gt;=8.5,"Priority",IF(S69&gt;=7.6,"Target",IF(S69&gt;=6.8,"Watch","Neutral"))))</x:f>
        <x:v>Fade</x:v>
      </x:c>
      <x:c r="U69" s="50" t="str">
        <x:v>Fade</x:v>
      </x:c>
      <x:c r="V69" s="51" t="str"/>
      <x:c r="W69" s="51" t="str">
        <x:v>Fits the two-FLEX build by adding either bankable touches or contingent workload at the correct price.</x:v>
      </x:c>
      <x:c r="X69" s="51" t="str">
        <x:v>The player can be useful without separating enough from readily available waiver-wire alternatives.</x:v>
      </x:c>
      <x:c r="Y69" s="51" t="str">
        <x:v>Use the Turn Board to select the highest remaining player in the same position/value tier.</x:v>
      </x:c>
      <x:c r="Z69" s="51" t="str">
        <x:v>Pair with a WR at the same turn unless he is a clear faller.</x:v>
      </x:c>
      <x:c r="AA69" s="51" t="n">
        <x:v>72</x:v>
      </x:c>
      <x:c r="AB69" s="51" t="n">
        <x:v>73</x:v>
      </x:c>
      <x:c r="AC69" s="51" t="n">
        <x:v>88</x:v>
      </x:c>
      <x:c r="AD69" s="51" t="str">
        <x:v>https://g.espncdn.com/s/ffldraftkit/26/NFL26_CS_PPR300.pdf?adddata=2026CS_PPR300</x:v>
      </x:c>
      <x:c r="AE69" s="51" t="str">
        <x:v>https://fantasyfootballcalculator.com/adp/ppr/8-team/all</x:v>
      </x:c>
      <x:c r="AF69" s="51" t="str">
        <x:v>https://www.rotowire.com/football/article/2026-fantasy-football-rankings-ppr-preseason-week-2-update-129449</x:v>
      </x:c>
      <x:c r="AG69" s="47" t="str">
        <x:f>IF(COUNTIFS('Live Draft'!$D$6:$D$133,8,'Live Draft'!$E$6:$E$133,A69)&gt;0,"My Team",IF(COUNTIF('Live Draft'!$E$6:$E$133,A69)&gt;0,"Other Team","Available"))</x:f>
        <x:v>Available</x:v>
      </x:c>
      <x:c r="AH69" s="52" t="n">
        <x:v>46261</x:v>
      </x:c>
    </x:row>
    <x:row r="70" ht="44" hidden="0" customHeight="1">
      <x:c r="A70" s="46" t="str">
        <x:v>Courtland Sutton</x:v>
      </x:c>
      <x:c r="B70" s="47" t="str">
        <x:v>WR</x:v>
      </x:c>
      <x:c r="C70" s="47" t="str">
        <x:v>DEN</x:v>
      </x:c>
      <x:c r="D70" s="48" t="n">
        <x:v>10</x:v>
      </x:c>
      <x:c r="E70" s="48" t="n">
        <x:v>65</x:v>
      </x:c>
      <x:c r="F70" s="48" t="n">
        <x:v>92</x:v>
      </x:c>
      <x:c r="G70" s="48" t="n">
        <x:v>62</x:v>
      </x:c>
      <x:c r="H70" s="48" t="n">
        <x:v>-27</x:v>
      </x:c>
      <x:c r="I70" s="48" t="n">
        <x:v>-30</x:v>
      </x:c>
      <x:c r="J70" s="48" t="n">
        <x:v>11</x:v>
      </x:c>
      <x:c r="K70" s="48" t="n">
        <x:v>88</x:v>
      </x:c>
      <x:c r="L70" s="48" t="str">
        <x:v>Upside</x:v>
      </x:c>
      <x:c r="M70" s="48" t="str">
        <x:v>Target + spike weeks</x:v>
      </x:c>
      <x:c r="N70" s="48" t="n">
        <x:v>5</x:v>
      </x:c>
      <x:c r="O70" s="48" t="n">
        <x:v>6</x:v>
      </x:c>
      <x:c r="P70" s="48" t="n">
        <x:v>5</x:v>
      </x:c>
      <x:c r="Q70" s="48" t="n">
        <x:v>5</x:v>
      </x:c>
      <x:c r="R70" s="48" t="n">
        <x:v>3</x:v>
      </x:c>
      <x:c r="S70" s="49" t="n">
        <x:f>ROUND(N70*VLOOKUP(L70,'Assumptions'!$A$16:$C$19,2,FALSE)+O70*VLOOKUP(L70,'Assumptions'!$A$16:$C$19,3,FALSE)+(P70-5)*0.10+(Q70-5)*0.08+(I70/10)*0.25-(R70-5)*0.10,1)</x:f>
        <x:v>5.2</x:v>
      </x:c>
      <x:c r="T70" s="47" t="str">
        <x:f>IF(U70&lt;&gt;"Use Model",U70,IF(S70&gt;=8.5,"Priority",IF(S70&gt;=7.6,"Target",IF(S70&gt;=6.8,"Watch","Neutral"))))</x:f>
        <x:v>Fade</x:v>
      </x:c>
      <x:c r="U70" s="50" t="str">
        <x:v>Fade</x:v>
      </x:c>
      <x:c r="V70" s="51" t="str"/>
      <x:c r="W70" s="51" t="str">
        <x:v>Adds startable target volume and spike-week potential without requiring a rigid positional build.</x:v>
      </x:c>
      <x:c r="X70" s="51" t="str">
        <x:v>The player can be useful without separating enough from readily available waiver-wire alternatives.</x:v>
      </x:c>
      <x:c r="Y70" s="51" t="str">
        <x:v>Use the Turn Board to select the highest remaining player in the same position/value tier.</x:v>
      </x:c>
      <x:c r="Z70" s="51" t="str">
        <x:v>Pair with RB scarcity or premium QB/TE leverage.</x:v>
      </x:c>
      <x:c r="AA70" s="51" t="n">
        <x:v>73</x:v>
      </x:c>
      <x:c r="AB70" s="51" t="n">
        <x:v>88</x:v>
      </x:c>
      <x:c r="AC70" s="51" t="n">
        <x:v>89</x:v>
      </x:c>
      <x:c r="AD70" s="51" t="str">
        <x:v>https://g.espncdn.com/s/ffldraftkit/26/NFL26_CS_PPR300.pdf?adddata=2026CS_PPR300</x:v>
      </x:c>
      <x:c r="AE70" s="51" t="str">
        <x:v>https://fantasyfootballcalculator.com/adp/ppr/8-team/all</x:v>
      </x:c>
      <x:c r="AF70" s="51" t="str">
        <x:v>https://www.rotowire.com/football/article/2026-fantasy-football-rankings-ppr-preseason-week-2-update-129449</x:v>
      </x:c>
      <x:c r="AG70" s="47" t="str">
        <x:f>IF(COUNTIFS('Live Draft'!$D$6:$D$133,8,'Live Draft'!$E$6:$E$133,A70)&gt;0,"My Team",IF(COUNTIF('Live Draft'!$E$6:$E$133,A70)&gt;0,"Other Team","Available"))</x:f>
        <x:v>Available</x:v>
      </x:c>
      <x:c r="AH70" s="52" t="n">
        <x:v>46261</x:v>
      </x:c>
    </x:row>
    <x:row r="71" ht="44" hidden="0" customHeight="1">
      <x:c r="A71" s="46" t="str">
        <x:v>Michael Pittman Jr.</x:v>
      </x:c>
      <x:c r="B71" s="47" t="str">
        <x:v>WR</x:v>
      </x:c>
      <x:c r="C71" s="47" t="str">
        <x:v>PIT</x:v>
      </x:c>
      <x:c r="D71" s="48" t="n">
        <x:v>9</x:v>
      </x:c>
      <x:c r="E71" s="48" t="n">
        <x:v>66</x:v>
      </x:c>
      <x:c r="F71" s="48" t="n">
        <x:v>90</x:v>
      </x:c>
      <x:c r="G71" s="48" t="n">
        <x:v>74</x:v>
      </x:c>
      <x:c r="H71" s="48" t="n">
        <x:v>-24</x:v>
      </x:c>
      <x:c r="I71" s="48" t="n">
        <x:v>-16</x:v>
      </x:c>
      <x:c r="J71" s="48" t="n">
        <x:v>11</x:v>
      </x:c>
      <x:c r="K71" s="48" t="n">
        <x:v>88</x:v>
      </x:c>
      <x:c r="L71" s="48" t="str">
        <x:v>Upside</x:v>
      </x:c>
      <x:c r="M71" s="48" t="str">
        <x:v>Target + spike weeks</x:v>
      </x:c>
      <x:c r="N71" s="48" t="n">
        <x:v>6</x:v>
      </x:c>
      <x:c r="O71" s="48" t="n">
        <x:v>7</x:v>
      </x:c>
      <x:c r="P71" s="48" t="n">
        <x:v>6</x:v>
      </x:c>
      <x:c r="Q71" s="48" t="n">
        <x:v>6</x:v>
      </x:c>
      <x:c r="R71" s="48" t="n">
        <x:v>3</x:v>
      </x:c>
      <x:c r="S71" s="49" t="n">
        <x:f>ROUND(N71*VLOOKUP(L71,'Assumptions'!$A$16:$C$19,2,FALSE)+O71*VLOOKUP(L71,'Assumptions'!$A$16:$C$19,3,FALSE)+(P71-5)*0.10+(Q71-5)*0.08+(I71/10)*0.25-(R71-5)*0.10,1)</x:f>
        <x:v>6.7</x:v>
      </x:c>
      <x:c r="T71" s="47" t="str">
        <x:f>IF(U71&lt;&gt;"Use Model",U71,IF(S71&gt;=8.5,"Priority",IF(S71&gt;=7.6,"Target",IF(S71&gt;=6.8,"Watch","Neutral"))))</x:f>
        <x:v>Fade</x:v>
      </x:c>
      <x:c r="U71" s="50" t="str">
        <x:v>Fade</x:v>
      </x:c>
      <x:c r="V71" s="51" t="str"/>
      <x:c r="W71" s="51" t="str">
        <x:v>Adds startable target volume and spike-week potential without requiring a rigid positional build.</x:v>
      </x:c>
      <x:c r="X71" s="51" t="str">
        <x:v>The player can be useful without separating enough from readily available waiver-wire alternatives.</x:v>
      </x:c>
      <x:c r="Y71" s="51" t="str">
        <x:v>Use the Turn Board to select the highest remaining player in the same position/value tier.</x:v>
      </x:c>
      <x:c r="Z71" s="51" t="str">
        <x:v>Pair with RB scarcity or premium QB/TE leverage.</x:v>
      </x:c>
      <x:c r="AA71" s="51" t="n">
        <x:v>73</x:v>
      </x:c>
      <x:c r="AB71" s="51" t="n">
        <x:v>88</x:v>
      </x:c>
      <x:c r="AC71" s="51" t="n">
        <x:v>89</x:v>
      </x:c>
      <x:c r="AD71" s="51" t="str">
        <x:v>https://g.espncdn.com/s/ffldraftkit/26/NFL26_CS_PPR300.pdf?adddata=2026CS_PPR300</x:v>
      </x:c>
      <x:c r="AE71" s="51" t="str">
        <x:v>https://fantasyfootballcalculator.com/adp/ppr/8-team/all</x:v>
      </x:c>
      <x:c r="AF71" s="51" t="str">
        <x:v>https://www.rotowire.com/football/article/2026-fantasy-football-rankings-ppr-preseason-week-2-update-129449</x:v>
      </x:c>
      <x:c r="AG71" s="47" t="str">
        <x:f>IF(COUNTIFS('Live Draft'!$D$6:$D$133,8,'Live Draft'!$E$6:$E$133,A71)&gt;0,"My Team",IF(COUNTIF('Live Draft'!$E$6:$E$133,A71)&gt;0,"Other Team","Available"))</x:f>
        <x:v>Available</x:v>
      </x:c>
      <x:c r="AH71" s="52" t="n">
        <x:v>46261</x:v>
      </x:c>
    </x:row>
    <x:row r="72" ht="44" hidden="0" customHeight="1">
      <x:c r="A72" s="46" t="str">
        <x:v>Marvin Harrison Jr.</x:v>
      </x:c>
      <x:c r="B72" s="47" t="str">
        <x:v>WR</x:v>
      </x:c>
      <x:c r="C72" s="47" t="str">
        <x:v>ARI</x:v>
      </x:c>
      <x:c r="D72" s="48" t="n">
        <x:v>14</x:v>
      </x:c>
      <x:c r="E72" s="48" t="n">
        <x:v>67</x:v>
      </x:c>
      <x:c r="F72" s="48" t="n">
        <x:v>66</x:v>
      </x:c>
      <x:c r="G72" s="48" t="n">
        <x:v>69</x:v>
      </x:c>
      <x:c r="H72" s="48" t="n">
        <x:v>1</x:v>
      </x:c>
      <x:c r="I72" s="48" t="n">
        <x:v>3</x:v>
      </x:c>
      <x:c r="J72" s="48" t="n">
        <x:v>9</x:v>
      </x:c>
      <x:c r="K72" s="48" t="n">
        <x:v>72</x:v>
      </x:c>
      <x:c r="L72" s="48" t="str">
        <x:v>Upside</x:v>
      </x:c>
      <x:c r="M72" s="48" t="str">
        <x:v>Target + spike weeks</x:v>
      </x:c>
      <x:c r="N72" s="48" t="n">
        <x:v>6</x:v>
      </x:c>
      <x:c r="O72" s="48" t="n">
        <x:v>7</x:v>
      </x:c>
      <x:c r="P72" s="48" t="n">
        <x:v>6</x:v>
      </x:c>
      <x:c r="Q72" s="48" t="n">
        <x:v>6</x:v>
      </x:c>
      <x:c r="R72" s="48" t="n">
        <x:v>3</x:v>
      </x:c>
      <x:c r="S72" s="49" t="n">
        <x:f>ROUND(N72*VLOOKUP(L72,'Assumptions'!$A$16:$C$19,2,FALSE)+O72*VLOOKUP(L72,'Assumptions'!$A$16:$C$19,3,FALSE)+(P72-5)*0.10+(Q72-5)*0.08+(I72/10)*0.25-(R72-5)*0.10,1)</x:f>
        <x:v>7.2</x:v>
      </x:c>
      <x:c r="T72" s="47" t="str">
        <x:f>IF(U72&lt;&gt;"Use Model",U72,IF(S72&gt;=8.5,"Priority",IF(S72&gt;=7.6,"Target",IF(S72&gt;=6.8,"Watch","Neutral"))))</x:f>
        <x:v>Watch</x:v>
      </x:c>
      <x:c r="U72" s="50" t="str">
        <x:v>Use Model</x:v>
      </x:c>
      <x:c r="V72" s="51" t="str"/>
      <x:c r="W72" s="51" t="str">
        <x:v>Adds startable target volume and spike-week potential without requiring a rigid positional build.</x:v>
      </x:c>
      <x:c r="X72" s="51" t="str">
        <x:v>The player can be useful without separating enough from readily available waiver-wire alternatives.</x:v>
      </x:c>
      <x:c r="Y72" s="51" t="str">
        <x:v>Use the Turn Board to select the highest remaining player in the same position/value tier.</x:v>
      </x:c>
      <x:c r="Z72" s="51" t="str">
        <x:v>Pair with RB scarcity or premium QB/TE leverage.</x:v>
      </x:c>
      <x:c r="AA72" s="51" t="n">
        <x:v>57</x:v>
      </x:c>
      <x:c r="AB72" s="51" t="n">
        <x:v>72</x:v>
      </x:c>
      <x:c r="AC72" s="51" t="n">
        <x:v>73</x:v>
      </x:c>
      <x:c r="AD72" s="51" t="str">
        <x:v>https://g.espncdn.com/s/ffldraftkit/26/NFL26_CS_PPR300.pdf?adddata=2026CS_PPR300</x:v>
      </x:c>
      <x:c r="AE72" s="51" t="str">
        <x:v>https://fantasyfootballcalculator.com/adp/ppr/8-team/all</x:v>
      </x:c>
      <x:c r="AF72" s="51" t="str">
        <x:v>https://www.rotowire.com/football/article/2026-fantasy-football-rankings-ppr-preseason-week-2-update-129449</x:v>
      </x:c>
      <x:c r="AG72" s="47" t="str">
        <x:f>IF(COUNTIFS('Live Draft'!$D$6:$D$133,8,'Live Draft'!$E$6:$E$133,A72)&gt;0,"My Team",IF(COUNTIF('Live Draft'!$E$6:$E$133,A72)&gt;0,"Other Team","Available"))</x:f>
        <x:v>Available</x:v>
      </x:c>
      <x:c r="AH72" s="52" t="n">
        <x:v>46261</x:v>
      </x:c>
    </x:row>
    <x:row r="73" ht="44" hidden="0" customHeight="1">
      <x:c r="A73" s="46" t="str">
        <x:v>DK Metcalf</x:v>
      </x:c>
      <x:c r="B73" s="47" t="str">
        <x:v>WR</x:v>
      </x:c>
      <x:c r="C73" s="47" t="str">
        <x:v>PIT</x:v>
      </x:c>
      <x:c r="D73" s="48" t="n">
        <x:v>9</x:v>
      </x:c>
      <x:c r="E73" s="48" t="n">
        <x:v>68</x:v>
      </x:c>
      <x:c r="F73" s="48" t="n">
        <x:v>78</x:v>
      </x:c>
      <x:c r="G73" s="48" t="n">
        <x:v>65</x:v>
      </x:c>
      <x:c r="H73" s="48" t="n">
        <x:v>-10</x:v>
      </x:c>
      <x:c r="I73" s="48" t="n">
        <x:v>-13</x:v>
      </x:c>
      <x:c r="J73" s="48" t="n">
        <x:v>10</x:v>
      </x:c>
      <x:c r="K73" s="48" t="n">
        <x:v>73</x:v>
      </x:c>
      <x:c r="L73" s="48" t="str">
        <x:v>Upside</x:v>
      </x:c>
      <x:c r="M73" s="48" t="str">
        <x:v>Target + spike weeks</x:v>
      </x:c>
      <x:c r="N73" s="48" t="n">
        <x:v>6</x:v>
      </x:c>
      <x:c r="O73" s="48" t="n">
        <x:v>7</x:v>
      </x:c>
      <x:c r="P73" s="48" t="n">
        <x:v>6</x:v>
      </x:c>
      <x:c r="Q73" s="48" t="n">
        <x:v>6</x:v>
      </x:c>
      <x:c r="R73" s="48" t="n">
        <x:v>3</x:v>
      </x:c>
      <x:c r="S73" s="49" t="n">
        <x:f>ROUND(N73*VLOOKUP(L73,'Assumptions'!$A$16:$C$19,2,FALSE)+O73*VLOOKUP(L73,'Assumptions'!$A$16:$C$19,3,FALSE)+(P73-5)*0.10+(Q73-5)*0.08+(I73/10)*0.25-(R73-5)*0.10,1)</x:f>
        <x:v>6.8</x:v>
      </x:c>
      <x:c r="T73" s="47" t="str">
        <x:f>IF(U73&lt;&gt;"Use Model",U73,IF(S73&gt;=8.5,"Priority",IF(S73&gt;=7.6,"Target",IF(S73&gt;=6.8,"Watch","Neutral"))))</x:f>
        <x:v>Watch</x:v>
      </x:c>
      <x:c r="U73" s="50" t="str">
        <x:v>Use Model</x:v>
      </x:c>
      <x:c r="V73" s="51" t="str"/>
      <x:c r="W73" s="51" t="str">
        <x:v>Adds startable target volume and spike-week potential without requiring a rigid positional build.</x:v>
      </x:c>
      <x:c r="X73" s="51" t="str">
        <x:v>The player can be useful without separating enough from readily available waiver-wire alternatives.</x:v>
      </x:c>
      <x:c r="Y73" s="51" t="str">
        <x:v>Use the Turn Board to select the highest remaining player in the same position/value tier.</x:v>
      </x:c>
      <x:c r="Z73" s="51" t="str">
        <x:v>Pair with RB scarcity or premium QB/TE leverage.</x:v>
      </x:c>
      <x:c r="AA73" s="51" t="n">
        <x:v>72</x:v>
      </x:c>
      <x:c r="AB73" s="51" t="n">
        <x:v>73</x:v>
      </x:c>
      <x:c r="AC73" s="51" t="n">
        <x:v>88</x:v>
      </x:c>
      <x:c r="AD73" s="51" t="str">
        <x:v>https://g.espncdn.com/s/ffldraftkit/26/NFL26_CS_PPR300.pdf?adddata=2026CS_PPR300</x:v>
      </x:c>
      <x:c r="AE73" s="51" t="str">
        <x:v>https://fantasyfootballcalculator.com/adp/ppr/8-team/all</x:v>
      </x:c>
      <x:c r="AF73" s="51" t="str">
        <x:v>https://www.rotowire.com/football/article/2026-fantasy-football-rankings-ppr-preseason-week-2-update-129449</x:v>
      </x:c>
      <x:c r="AG73" s="47" t="str">
        <x:f>IF(COUNTIFS('Live Draft'!$D$6:$D$133,8,'Live Draft'!$E$6:$E$133,A73)&gt;0,"My Team",IF(COUNTIF('Live Draft'!$E$6:$E$133,A73)&gt;0,"Other Team","Available"))</x:f>
        <x:v>Available</x:v>
      </x:c>
      <x:c r="AH73" s="52" t="n">
        <x:v>46261</x:v>
      </x:c>
    </x:row>
    <x:row r="74" ht="44" hidden="0" customHeight="1">
      <x:c r="A74" s="46" t="str">
        <x:v>Parker Washington</x:v>
      </x:c>
      <x:c r="B74" s="47" t="str">
        <x:v>WR</x:v>
      </x:c>
      <x:c r="C74" s="47" t="str">
        <x:v>JAX</x:v>
      </x:c>
      <x:c r="D74" s="48" t="n">
        <x:v>7</x:v>
      </x:c>
      <x:c r="E74" s="48" t="n">
        <x:v>69</x:v>
      </x:c>
      <x:c r="F74" s="48" t="n">
        <x:v>60</x:v>
      </x:c>
      <x:c r="G74" s="48" t="n">
        <x:v>64</x:v>
      </x:c>
      <x:c r="H74" s="48" t="n">
        <x:v>9</x:v>
      </x:c>
      <x:c r="I74" s="48" t="n">
        <x:v>4</x:v>
      </x:c>
      <x:c r="J74" s="48" t="n">
        <x:v>8</x:v>
      </x:c>
      <x:c r="K74" s="48" t="n">
        <x:v>57</x:v>
      </x:c>
      <x:c r="L74" s="48" t="str">
        <x:v>Upside</x:v>
      </x:c>
      <x:c r="M74" s="48" t="str">
        <x:v>Target + spike weeks</x:v>
      </x:c>
      <x:c r="N74" s="48" t="n">
        <x:v>7</x:v>
      </x:c>
      <x:c r="O74" s="48" t="n">
        <x:v>8</x:v>
      </x:c>
      <x:c r="P74" s="48" t="n">
        <x:v>7</x:v>
      </x:c>
      <x:c r="Q74" s="48" t="n">
        <x:v>7</x:v>
      </x:c>
      <x:c r="R74" s="48" t="n">
        <x:v>3</x:v>
      </x:c>
      <x:c r="S74" s="49" t="n">
        <x:f>ROUND(N74*VLOOKUP(L74,'Assumptions'!$A$16:$C$19,2,FALSE)+O74*VLOOKUP(L74,'Assumptions'!$A$16:$C$19,3,FALSE)+(P74-5)*0.10+(Q74-5)*0.08+(I74/10)*0.25-(R74-5)*0.10,1)</x:f>
        <x:v>8.4</x:v>
      </x:c>
      <x:c r="T74" s="47" t="str">
        <x:f>IF(U74&lt;&gt;"Use Model",U74,IF(S74&gt;=8.5,"Priority",IF(S74&gt;=7.6,"Target",IF(S74&gt;=6.8,"Watch","Neutral"))))</x:f>
        <x:v>Target</x:v>
      </x:c>
      <x:c r="U74" s="50" t="str">
        <x:v>Use Model</x:v>
      </x:c>
      <x:c r="V74" s="51" t="str"/>
      <x:c r="W74" s="51" t="str">
        <x:v>Adds startable target volume and spike-week potential without requiring a rigid positional build.</x:v>
      </x:c>
      <x:c r="X74" s="51" t="str">
        <x:v>The player can be useful without separating enough from readily available waiver-wire alternatives.</x:v>
      </x:c>
      <x:c r="Y74" s="51" t="str">
        <x:v>Use the Turn Board to select the highest remaining player in the same position/value tier.</x:v>
      </x:c>
      <x:c r="Z74" s="51" t="str">
        <x:v>Pair with RB scarcity or premium QB/TE leverage.</x:v>
      </x:c>
      <x:c r="AA74" s="51" t="n">
        <x:v>56</x:v>
      </x:c>
      <x:c r="AB74" s="51" t="n">
        <x:v>57</x:v>
      </x:c>
      <x:c r="AC74" s="51" t="n">
        <x:v>72</x:v>
      </x:c>
      <x:c r="AD74" s="51" t="str">
        <x:v>https://g.espncdn.com/s/ffldraftkit/26/NFL26_CS_PPR300.pdf?adddata=2026CS_PPR300</x:v>
      </x:c>
      <x:c r="AE74" s="51" t="str">
        <x:v>https://fantasyfootballcalculator.com/adp/ppr/8-team/all</x:v>
      </x:c>
      <x:c r="AF74" s="51" t="str">
        <x:v>https://www.rotowire.com/football/article/2026-fantasy-football-rankings-ppr-preseason-week-2-update-129449</x:v>
      </x:c>
      <x:c r="AG74" s="47" t="str">
        <x:f>IF(COUNTIFS('Live Draft'!$D$6:$D$133,8,'Live Draft'!$E$6:$E$133,A74)&gt;0,"My Team",IF(COUNTIF('Live Draft'!$E$6:$E$133,A74)&gt;0,"Other Team","Available"))</x:f>
        <x:v>Available</x:v>
      </x:c>
      <x:c r="AH74" s="52" t="n">
        <x:v>46261</x:v>
      </x:c>
    </x:row>
    <x:row r="75" ht="44" hidden="0" customHeight="1">
      <x:c r="A75" s="46" t="str">
        <x:v>Alec Pierce</x:v>
      </x:c>
      <x:c r="B75" s="47" t="str">
        <x:v>WR</x:v>
      </x:c>
      <x:c r="C75" s="47" t="str">
        <x:v>IND</x:v>
      </x:c>
      <x:c r="D75" s="48" t="n">
        <x:v>13</x:v>
      </x:c>
      <x:c r="E75" s="48" t="n">
        <x:v>70</x:v>
      </x:c>
      <x:c r="F75" s="48" t="n">
        <x:v>104</x:v>
      </x:c>
      <x:c r="G75" s="48" t="n">
        <x:v>70</x:v>
      </x:c>
      <x:c r="H75" s="48" t="n">
        <x:v>-34</x:v>
      </x:c>
      <x:c r="I75" s="48" t="n">
        <x:v>-34</x:v>
      </x:c>
      <x:c r="J75" s="48" t="n">
        <x:v>12</x:v>
      </x:c>
      <x:c r="K75" s="48" t="n">
        <x:v>89</x:v>
      </x:c>
      <x:c r="L75" s="48" t="str">
        <x:v>Upside</x:v>
      </x:c>
      <x:c r="M75" s="48" t="str">
        <x:v>Target + spike weeks</x:v>
      </x:c>
      <x:c r="N75" s="48" t="n">
        <x:v>5</x:v>
      </x:c>
      <x:c r="O75" s="48" t="n">
        <x:v>6</x:v>
      </x:c>
      <x:c r="P75" s="48" t="n">
        <x:v>5</x:v>
      </x:c>
      <x:c r="Q75" s="48" t="n">
        <x:v>5</x:v>
      </x:c>
      <x:c r="R75" s="48" t="n">
        <x:v>3</x:v>
      </x:c>
      <x:c r="S75" s="49" t="n">
        <x:f>ROUND(N75*VLOOKUP(L75,'Assumptions'!$A$16:$C$19,2,FALSE)+O75*VLOOKUP(L75,'Assumptions'!$A$16:$C$19,3,FALSE)+(P75-5)*0.10+(Q75-5)*0.08+(I75/10)*0.25-(R75-5)*0.10,1)</x:f>
        <x:v>5.1</x:v>
      </x:c>
      <x:c r="T75" s="47" t="str">
        <x:f>IF(U75&lt;&gt;"Use Model",U75,IF(S75&gt;=8.5,"Priority",IF(S75&gt;=7.6,"Target",IF(S75&gt;=6.8,"Watch","Neutral"))))</x:f>
        <x:v>Fade</x:v>
      </x:c>
      <x:c r="U75" s="50" t="str">
        <x:v>Fade</x:v>
      </x:c>
      <x:c r="V75" s="51" t="str"/>
      <x:c r="W75" s="51" t="str">
        <x:v>Adds startable target volume and spike-week potential without requiring a rigid positional build.</x:v>
      </x:c>
      <x:c r="X75" s="51" t="str">
        <x:v>The player can be useful without separating enough from readily available waiver-wire alternatives.</x:v>
      </x:c>
      <x:c r="Y75" s="51" t="str">
        <x:v>Use the Turn Board to select the highest remaining player in the same position/value tier.</x:v>
      </x:c>
      <x:c r="Z75" s="51" t="str">
        <x:v>Pair with RB scarcity or premium QB/TE leverage.</x:v>
      </x:c>
      <x:c r="AA75" s="51" t="n">
        <x:v>88</x:v>
      </x:c>
      <x:c r="AB75" s="51" t="n">
        <x:v>89</x:v>
      </x:c>
      <x:c r="AC75" s="51" t="n">
        <x:v>104</x:v>
      </x:c>
      <x:c r="AD75" s="51" t="str">
        <x:v>https://g.espncdn.com/s/ffldraftkit/26/NFL26_CS_PPR300.pdf?adddata=2026CS_PPR300</x:v>
      </x:c>
      <x:c r="AE75" s="51" t="str">
        <x:v>https://fantasyfootballcalculator.com/adp/ppr/8-team/all</x:v>
      </x:c>
      <x:c r="AF75" s="51" t="str">
        <x:v>https://www.rotowire.com/football/article/2026-fantasy-football-rankings-ppr-preseason-week-2-update-129449</x:v>
      </x:c>
      <x:c r="AG75" s="47" t="str">
        <x:f>IF(COUNTIFS('Live Draft'!$D$6:$D$133,8,'Live Draft'!$E$6:$E$133,A75)&gt;0,"My Team",IF(COUNTIF('Live Draft'!$E$6:$E$133,A75)&gt;0,"Other Team","Available"))</x:f>
        <x:v>Available</x:v>
      </x:c>
      <x:c r="AH75" s="52" t="n">
        <x:v>46261</x:v>
      </x:c>
    </x:row>
    <x:row r="76" ht="44" hidden="0" customHeight="1">
      <x:c r="A76" s="46" t="str">
        <x:v>Kyle Pitts</x:v>
      </x:c>
      <x:c r="B76" s="47" t="str">
        <x:v>TE</x:v>
      </x:c>
      <x:c r="C76" s="47" t="str">
        <x:v>ATL</x:v>
      </x:c>
      <x:c r="D76" s="48" t="n">
        <x:v>11</x:v>
      </x:c>
      <x:c r="E76" s="48" t="n">
        <x:v>71</x:v>
      </x:c>
      <x:c r="F76" s="48" t="n">
        <x:v>75</x:v>
      </x:c>
      <x:c r="G76" s="48" t="n">
        <x:v>77</x:v>
      </x:c>
      <x:c r="H76" s="48" t="n">
        <x:v>-4</x:v>
      </x:c>
      <x:c r="I76" s="48" t="n">
        <x:v>2</x:v>
      </x:c>
      <x:c r="J76" s="48" t="n">
        <x:v>10</x:v>
      </x:c>
      <x:c r="K76" s="48" t="n">
        <x:v>73</x:v>
      </x:c>
      <x:c r="L76" s="48" t="str">
        <x:v>Upside</x:v>
      </x:c>
      <x:c r="M76" s="48" t="str">
        <x:v>Positional leverage</x:v>
      </x:c>
      <x:c r="N76" s="48" t="n">
        <x:v>6</x:v>
      </x:c>
      <x:c r="O76" s="48" t="n">
        <x:v>7</x:v>
      </x:c>
      <x:c r="P76" s="48" t="n">
        <x:v>6</x:v>
      </x:c>
      <x:c r="Q76" s="48" t="n">
        <x:v>6</x:v>
      </x:c>
      <x:c r="R76" s="48" t="n">
        <x:v>3</x:v>
      </x:c>
      <x:c r="S76" s="49" t="n">
        <x:f>ROUND(N76*VLOOKUP(L76,'Assumptions'!$A$16:$C$19,2,FALSE)+O76*VLOOKUP(L76,'Assumptions'!$A$16:$C$19,3,FALSE)+(P76-5)*0.10+(Q76-5)*0.08+(I76/10)*0.25-(R76-5)*0.10,1)</x:f>
        <x:v>7.2</x:v>
      </x:c>
      <x:c r="T76" s="47" t="str">
        <x:f>IF(U76&lt;&gt;"Use Model",U76,IF(S76&gt;=8.5,"Priority",IF(S76&gt;=7.6,"Target",IF(S76&gt;=6.8,"Watch","Neutral"))))</x:f>
        <x:v>Watch</x:v>
      </x:c>
      <x:c r="U76" s="50" t="str">
        <x:v>Use Model</x:v>
      </x:c>
      <x:c r="V76" s="51" t="str"/>
      <x:c r="W76" s="51" t="str">
        <x:v>Can create weekly positional leverage if selected at or below the recommended turn.</x:v>
      </x:c>
      <x:c r="X76" s="51" t="str">
        <x:v>The player can be useful without separating enough from readily available waiver-wire alternatives.</x:v>
      </x:c>
      <x:c r="Y76" s="51" t="str">
        <x:v>Use the Turn Board to select the highest remaining player in the same position/value tier.</x:v>
      </x:c>
      <x:c r="Z76" s="51" t="str">
        <x:v>Do not draft a second TE.</x:v>
      </x:c>
      <x:c r="AA76" s="51" t="n">
        <x:v>72</x:v>
      </x:c>
      <x:c r="AB76" s="51" t="n">
        <x:v>73</x:v>
      </x:c>
      <x:c r="AC76" s="51" t="n">
        <x:v>88</x:v>
      </x:c>
      <x:c r="AD76" s="51" t="str">
        <x:v>https://g.espncdn.com/s/ffldraftkit/26/NFL26_CS_PPR300.pdf?adddata=2026CS_PPR300</x:v>
      </x:c>
      <x:c r="AE76" s="51" t="str">
        <x:v>https://fantasyfootballcalculator.com/adp/ppr/8-team/all</x:v>
      </x:c>
      <x:c r="AF76" s="51" t="str">
        <x:v>https://www.rotowire.com/football/article/2026-fantasy-football-rankings-ppr-preseason-week-2-update-129449</x:v>
      </x:c>
      <x:c r="AG76" s="47" t="str">
        <x:f>IF(COUNTIFS('Live Draft'!$D$6:$D$133,8,'Live Draft'!$E$6:$E$133,A76)&gt;0,"My Team",IF(COUNTIF('Live Draft'!$E$6:$E$133,A76)&gt;0,"Other Team","Available"))</x:f>
        <x:v>Available</x:v>
      </x:c>
      <x:c r="AH76" s="52" t="n">
        <x:v>46261</x:v>
      </x:c>
    </x:row>
    <x:row r="77" ht="44" hidden="0" customHeight="1">
      <x:c r="A77" s="46" t="str">
        <x:v>Harold Fannin Jr.</x:v>
      </x:c>
      <x:c r="B77" s="47" t="str">
        <x:v>TE</x:v>
      </x:c>
      <x:c r="C77" s="47" t="str">
        <x:v>CLE</x:v>
      </x:c>
      <x:c r="D77" s="48" t="n">
        <x:v>11</x:v>
      </x:c>
      <x:c r="E77" s="48" t="n">
        <x:v>72</x:v>
      </x:c>
      <x:c r="F77" s="48" t="n">
        <x:v>74</x:v>
      </x:c>
      <x:c r="G77" s="48" t="n">
        <x:v>80</x:v>
      </x:c>
      <x:c r="H77" s="48" t="n">
        <x:v>-2</x:v>
      </x:c>
      <x:c r="I77" s="48" t="n">
        <x:v>6</x:v>
      </x:c>
      <x:c r="J77" s="48" t="n">
        <x:v>10</x:v>
      </x:c>
      <x:c r="K77" s="48" t="n">
        <x:v>73</x:v>
      </x:c>
      <x:c r="L77" s="48" t="str">
        <x:v>Upside</x:v>
      </x:c>
      <x:c r="M77" s="48" t="str">
        <x:v>Positional leverage</x:v>
      </x:c>
      <x:c r="N77" s="48" t="n">
        <x:v>6</x:v>
      </x:c>
      <x:c r="O77" s="48" t="n">
        <x:v>7</x:v>
      </x:c>
      <x:c r="P77" s="48" t="n">
        <x:v>6</x:v>
      </x:c>
      <x:c r="Q77" s="48" t="n">
        <x:v>6</x:v>
      </x:c>
      <x:c r="R77" s="48" t="n">
        <x:v>3</x:v>
      </x:c>
      <x:c r="S77" s="49" t="n">
        <x:f>ROUND(N77*VLOOKUP(L77,'Assumptions'!$A$16:$C$19,2,FALSE)+O77*VLOOKUP(L77,'Assumptions'!$A$16:$C$19,3,FALSE)+(P77-5)*0.10+(Q77-5)*0.08+(I77/10)*0.25-(R77-5)*0.10,1)</x:f>
        <x:v>7.3</x:v>
      </x:c>
      <x:c r="T77" s="47" t="str">
        <x:f>IF(U77&lt;&gt;"Use Model",U77,IF(S77&gt;=8.5,"Priority",IF(S77&gt;=7.6,"Target",IF(S77&gt;=6.8,"Watch","Neutral"))))</x:f>
        <x:v>Watch</x:v>
      </x:c>
      <x:c r="U77" s="50" t="str">
        <x:v>Use Model</x:v>
      </x:c>
      <x:c r="V77" s="51" t="str"/>
      <x:c r="W77" s="51" t="str">
        <x:v>Can create weekly positional leverage if selected at or below the recommended turn.</x:v>
      </x:c>
      <x:c r="X77" s="51" t="str">
        <x:v>The player can be useful without separating enough from readily available waiver-wire alternatives.</x:v>
      </x:c>
      <x:c r="Y77" s="51" t="str">
        <x:v>Use the Turn Board to select the highest remaining player in the same position/value tier.</x:v>
      </x:c>
      <x:c r="Z77" s="51" t="str">
        <x:v>Do not draft a second TE.</x:v>
      </x:c>
      <x:c r="AA77" s="51" t="n">
        <x:v>72</x:v>
      </x:c>
      <x:c r="AB77" s="51" t="n">
        <x:v>73</x:v>
      </x:c>
      <x:c r="AC77" s="51" t="n">
        <x:v>88</x:v>
      </x:c>
      <x:c r="AD77" s="51" t="str">
        <x:v>https://g.espncdn.com/s/ffldraftkit/26/NFL26_CS_PPR300.pdf?adddata=2026CS_PPR300</x:v>
      </x:c>
      <x:c r="AE77" s="51" t="str">
        <x:v>https://fantasyfootballcalculator.com/adp/ppr/8-team/all</x:v>
      </x:c>
      <x:c r="AF77" s="51" t="str">
        <x:v>https://www.rotowire.com/football/article/2026-fantasy-football-rankings-ppr-preseason-week-2-update-129449</x:v>
      </x:c>
      <x:c r="AG77" s="47" t="str">
        <x:f>IF(COUNTIFS('Live Draft'!$D$6:$D$133,8,'Live Draft'!$E$6:$E$133,A77)&gt;0,"My Team",IF(COUNTIF('Live Draft'!$E$6:$E$133,A77)&gt;0,"Other Team","Available"))</x:f>
        <x:v>Available</x:v>
      </x:c>
      <x:c r="AH77" s="52" t="n">
        <x:v>46261</x:v>
      </x:c>
    </x:row>
    <x:row r="78" ht="44" hidden="0" customHeight="1">
      <x:c r="A78" s="46" t="str">
        <x:v>Sam LaPorta</x:v>
      </x:c>
      <x:c r="B78" s="47" t="str">
        <x:v>TE</x:v>
      </x:c>
      <x:c r="C78" s="47" t="str">
        <x:v>DET</x:v>
      </x:c>
      <x:c r="D78" s="48" t="n">
        <x:v>6</x:v>
      </x:c>
      <x:c r="E78" s="48" t="n">
        <x:v>73</x:v>
      </x:c>
      <x:c r="F78" s="48" t="n">
        <x:v>76</x:v>
      </x:c>
      <x:c r="G78" s="48" t="n">
        <x:v>121</x:v>
      </x:c>
      <x:c r="H78" s="48" t="n">
        <x:v>-3</x:v>
      </x:c>
      <x:c r="I78" s="48" t="n">
        <x:v>45</x:v>
      </x:c>
      <x:c r="J78" s="48" t="n">
        <x:v>12</x:v>
      </x:c>
      <x:c r="K78" s="48" t="n">
        <x:v>89</x:v>
      </x:c>
      <x:c r="L78" s="48" t="str">
        <x:v>Upside</x:v>
      </x:c>
      <x:c r="M78" s="48" t="str">
        <x:v>Positional leverage</x:v>
      </x:c>
      <x:c r="N78" s="48" t="n">
        <x:v>7</x:v>
      </x:c>
      <x:c r="O78" s="48" t="n">
        <x:v>8</x:v>
      </x:c>
      <x:c r="P78" s="48" t="n">
        <x:v>6</x:v>
      </x:c>
      <x:c r="Q78" s="48" t="n">
        <x:v>6</x:v>
      </x:c>
      <x:c r="R78" s="48" t="n">
        <x:v>3</x:v>
      </x:c>
      <x:c r="S78" s="49" t="n">
        <x:f>ROUND(N78*VLOOKUP(L78,'Assumptions'!$A$16:$C$19,2,FALSE)+O78*VLOOKUP(L78,'Assumptions'!$A$16:$C$19,3,FALSE)+(P78-5)*0.10+(Q78-5)*0.08+(I78/10)*0.25-(R78-5)*0.10,1)</x:f>
        <x:v>9.3</x:v>
      </x:c>
      <x:c r="T78" s="47" t="str">
        <x:f>IF(U78&lt;&gt;"Use Model",U78,IF(S78&gt;=8.5,"Priority",IF(S78&gt;=7.6,"Target",IF(S78&gt;=6.8,"Watch","Neutral"))))</x:f>
        <x:v>Target</x:v>
      </x:c>
      <x:c r="U78" s="50" t="str">
        <x:v>Target</x:v>
      </x:c>
      <x:c r="V78" s="51" t="str"/>
      <x:c r="W78" s="51" t="str">
        <x:v>Live ADP 121 is far cheaper than both ESPN and model rank; excellent fallback if the room ignores tight end.</x:v>
      </x:c>
      <x:c r="X78" s="51" t="str">
        <x:v>Target competition may prevent a truly elite TE season.</x:v>
      </x:c>
      <x:c r="Y78" s="51" t="str">
        <x:v>Colston Loveland; Tyler Warren; George Kittle</x:v>
      </x:c>
      <x:c r="Z78" s="51" t="str">
        <x:v>Do not draft a second TE.</x:v>
      </x:c>
      <x:c r="AA78" s="51" t="n">
        <x:v>88</x:v>
      </x:c>
      <x:c r="AB78" s="51" t="n">
        <x:v>89</x:v>
      </x:c>
      <x:c r="AC78" s="51" t="n">
        <x:v>104</x:v>
      </x:c>
      <x:c r="AD78" s="51" t="str">
        <x:v>https://g.espncdn.com/s/ffldraftkit/26/NFL26_CS_PPR300.pdf?adddata=2026CS_PPR300</x:v>
      </x:c>
      <x:c r="AE78" s="51" t="str">
        <x:v>https://fantasyfootballcalculator.com/adp/ppr/8-team/all</x:v>
      </x:c>
      <x:c r="AF78" s="51" t="str">
        <x:v>https://www.rotowire.com/football/article/2026-fantasy-football-rankings-ppr-preseason-week-2-update-129449</x:v>
      </x:c>
      <x:c r="AG78" s="47" t="str">
        <x:f>IF(COUNTIFS('Live Draft'!$D$6:$D$133,8,'Live Draft'!$E$6:$E$133,A78)&gt;0,"My Team",IF(COUNTIF('Live Draft'!$E$6:$E$133,A78)&gt;0,"Other Team","Available"))</x:f>
        <x:v>Available</x:v>
      </x:c>
      <x:c r="AH78" s="52" t="n">
        <x:v>46261</x:v>
      </x:c>
    </x:row>
    <x:row r="79" ht="44" hidden="0" customHeight="1">
      <x:c r="A79" s="46" t="str">
        <x:v>Joe Burrow</x:v>
      </x:c>
      <x:c r="B79" s="47" t="str">
        <x:v>QB</x:v>
      </x:c>
      <x:c r="C79" s="47" t="str">
        <x:v>CIN</x:v>
      </x:c>
      <x:c r="D79" s="48" t="n">
        <x:v>6</x:v>
      </x:c>
      <x:c r="E79" s="48" t="n">
        <x:v>74</x:v>
      </x:c>
      <x:c r="F79" s="48" t="n">
        <x:v>61</x:v>
      </x:c>
      <x:c r="G79" s="48" t="n">
        <x:v>58</x:v>
      </x:c>
      <x:c r="H79" s="48" t="n">
        <x:v>13</x:v>
      </x:c>
      <x:c r="I79" s="48" t="n">
        <x:v>-3</x:v>
      </x:c>
      <x:c r="J79" s="48" t="n">
        <x:v>8</x:v>
      </x:c>
      <x:c r="K79" s="48" t="n">
        <x:v>57</x:v>
      </x:c>
      <x:c r="L79" s="48" t="str">
        <x:v>Upside</x:v>
      </x:c>
      <x:c r="M79" s="48" t="str">
        <x:v>One-QB value</x:v>
      </x:c>
      <x:c r="N79" s="48" t="n">
        <x:v>6</x:v>
      </x:c>
      <x:c r="O79" s="48" t="n">
        <x:v>7</x:v>
      </x:c>
      <x:c r="P79" s="48" t="n">
        <x:v>6</x:v>
      </x:c>
      <x:c r="Q79" s="48" t="n">
        <x:v>6</x:v>
      </x:c>
      <x:c r="R79" s="48" t="n">
        <x:v>3</x:v>
      </x:c>
      <x:c r="S79" s="49" t="n">
        <x:f>ROUND(N79*VLOOKUP(L79,'Assumptions'!$A$16:$C$19,2,FALSE)+O79*VLOOKUP(L79,'Assumptions'!$A$16:$C$19,3,FALSE)+(P79-5)*0.10+(Q79-5)*0.08+(I79/10)*0.25-(R79-5)*0.10,1)</x:f>
        <x:v>7.1</x:v>
      </x:c>
      <x:c r="T79" s="47" t="str">
        <x:f>IF(U79&lt;&gt;"Use Model",U79,IF(S79&gt;=8.5,"Priority",IF(S79&gt;=7.6,"Target",IF(S79&gt;=6.8,"Watch","Neutral"))))</x:f>
        <x:v>Target</x:v>
      </x:c>
      <x:c r="U79" s="50" t="str">
        <x:v>Target</x:v>
      </x:c>
      <x:c r="V79" s="51" t="str"/>
      <x:c r="W79" s="51" t="str">
        <x:v>Provides one-QB scoring leverage without sacrificing the early RB/WR foundation.</x:v>
      </x:c>
      <x:c r="X79" s="51" t="str">
        <x:v>The player can be useful without separating enough from readily available waiver-wire alternatives.</x:v>
      </x:c>
      <x:c r="Y79" s="51" t="str">
        <x:v>Use the Turn Board to select the highest remaining player in the same position/value tier.</x:v>
      </x:c>
      <x:c r="Z79" s="51" t="str">
        <x:v>Do not draft a second QB.</x:v>
      </x:c>
      <x:c r="AA79" s="51" t="n">
        <x:v>56</x:v>
      </x:c>
      <x:c r="AB79" s="51" t="n">
        <x:v>57</x:v>
      </x:c>
      <x:c r="AC79" s="51" t="n">
        <x:v>72</x:v>
      </x:c>
      <x:c r="AD79" s="51" t="str">
        <x:v>https://g.espncdn.com/s/ffldraftkit/26/NFL26_CS_PPR300.pdf?adddata=2026CS_PPR300</x:v>
      </x:c>
      <x:c r="AE79" s="51" t="str">
        <x:v>https://fantasyfootballcalculator.com/adp/ppr/8-team/all</x:v>
      </x:c>
      <x:c r="AF79" s="51" t="str">
        <x:v>https://www.rotowire.com/football/article/2026-fantasy-football-rankings-ppr-preseason-week-2-update-129449</x:v>
      </x:c>
      <x:c r="AG79" s="47" t="str">
        <x:f>IF(COUNTIFS('Live Draft'!$D$6:$D$133,8,'Live Draft'!$E$6:$E$133,A79)&gt;0,"My Team",IF(COUNTIF('Live Draft'!$E$6:$E$133,A79)&gt;0,"Other Team","Available"))</x:f>
        <x:v>Available</x:v>
      </x:c>
      <x:c r="AH79" s="52" t="n">
        <x:v>46261</x:v>
      </x:c>
    </x:row>
    <x:row r="80" ht="44" hidden="0" customHeight="1">
      <x:c r="A80" s="46" t="str">
        <x:v>Jaxson Dart</x:v>
      </x:c>
      <x:c r="B80" s="47" t="str">
        <x:v>QB</x:v>
      </x:c>
      <x:c r="C80" s="47" t="str">
        <x:v>NYG</x:v>
      </x:c>
      <x:c r="D80" s="48" t="n">
        <x:v>8</x:v>
      </x:c>
      <x:c r="E80" s="48" t="n">
        <x:v>75</x:v>
      </x:c>
      <x:c r="F80" s="48" t="n">
        <x:v>105</x:v>
      </x:c>
      <x:c r="G80" s="48" t="n">
        <x:v>125</x:v>
      </x:c>
      <x:c r="H80" s="48" t="n">
        <x:v>-30</x:v>
      </x:c>
      <x:c r="I80" s="48" t="n">
        <x:v>20</x:v>
      </x:c>
      <x:c r="J80" s="48" t="n">
        <x:v>14</x:v>
      </x:c>
      <x:c r="K80" s="48" t="n">
        <x:v>105</x:v>
      </x:c>
      <x:c r="L80" s="48" t="str">
        <x:v>Lottery</x:v>
      </x:c>
      <x:c r="M80" s="48" t="str">
        <x:v>One-QB value</x:v>
      </x:c>
      <x:c r="N80" s="48" t="n">
        <x:v>5</x:v>
      </x:c>
      <x:c r="O80" s="48" t="n">
        <x:v>6</x:v>
      </x:c>
      <x:c r="P80" s="48" t="n">
        <x:v>5</x:v>
      </x:c>
      <x:c r="Q80" s="48" t="n">
        <x:v>5</x:v>
      </x:c>
      <x:c r="R80" s="48" t="n">
        <x:v>3</x:v>
      </x:c>
      <x:c r="S80" s="49" t="n">
        <x:f>ROUND(N80*VLOOKUP(L80,'Assumptions'!$A$16:$C$19,2,FALSE)+O80*VLOOKUP(L80,'Assumptions'!$A$16:$C$19,3,FALSE)+(P80-5)*0.10+(Q80-5)*0.08+(I80/10)*0.25-(R80-5)*0.10,1)</x:f>
        <x:v>6.6</x:v>
      </x:c>
      <x:c r="T80" s="47" t="str">
        <x:f>IF(U80&lt;&gt;"Use Model",U80,IF(S80&gt;=8.5,"Priority",IF(S80&gt;=7.6,"Target",IF(S80&gt;=6.8,"Watch","Neutral"))))</x:f>
        <x:v>Target</x:v>
      </x:c>
      <x:c r="U80" s="50" t="str">
        <x:v>Target</x:v>
      </x:c>
      <x:c r="V80" s="51" t="str"/>
      <x:c r="W80" s="51" t="str">
        <x:v>Provides one-QB scoring leverage without sacrificing the early RB/WR foundation.</x:v>
      </x:c>
      <x:c r="X80" s="51" t="str">
        <x:v>The player can be useful without separating enough from readily available waiver-wire alternatives.</x:v>
      </x:c>
      <x:c r="Y80" s="51" t="str">
        <x:v>Use the Turn Board to select the highest remaining player in the same position/value tier.</x:v>
      </x:c>
      <x:c r="Z80" s="51" t="str">
        <x:v>Do not draft a second QB.</x:v>
      </x:c>
      <x:c r="AA80" s="51" t="n">
        <x:v>104</x:v>
      </x:c>
      <x:c r="AB80" s="51" t="n">
        <x:v>105</x:v>
      </x:c>
      <x:c r="AC80" s="51" t="n">
        <x:v>120</x:v>
      </x:c>
      <x:c r="AD80" s="51" t="str">
        <x:v>https://g.espncdn.com/s/ffldraftkit/26/NFL26_CS_PPR300.pdf?adddata=2026CS_PPR300</x:v>
      </x:c>
      <x:c r="AE80" s="51" t="str">
        <x:v>https://fantasyfootballcalculator.com/adp/ppr/8-team/all</x:v>
      </x:c>
      <x:c r="AF80" s="51" t="str">
        <x:v>https://www.rotowire.com/football/article/2026-fantasy-football-rankings-ppr-preseason-week-2-update-129449</x:v>
      </x:c>
      <x:c r="AG80" s="47" t="str">
        <x:f>IF(COUNTIFS('Live Draft'!$D$6:$D$133,8,'Live Draft'!$E$6:$E$133,A80)&gt;0,"My Team",IF(COUNTIF('Live Draft'!$E$6:$E$133,A80)&gt;0,"Other Team","Available"))</x:f>
        <x:v>Available</x:v>
      </x:c>
      <x:c r="AH80" s="52" t="n">
        <x:v>46261</x:v>
      </x:c>
    </x:row>
    <x:row r="81" ht="44" hidden="0" customHeight="1">
      <x:c r="A81" s="46" t="str">
        <x:v>Mike Evans</x:v>
      </x:c>
      <x:c r="B81" s="47" t="str">
        <x:v>WR</x:v>
      </x:c>
      <x:c r="C81" s="47" t="str">
        <x:v>SF</x:v>
      </x:c>
      <x:c r="D81" s="48" t="n">
        <x:v>8</x:v>
      </x:c>
      <x:c r="E81" s="48" t="n">
        <x:v>76</x:v>
      </x:c>
      <x:c r="F81" s="48" t="n">
        <x:v>47</x:v>
      </x:c>
      <x:c r="G81" s="48" t="n">
        <x:v>54</x:v>
      </x:c>
      <x:c r="H81" s="48" t="n">
        <x:v>29</x:v>
      </x:c>
      <x:c r="I81" s="48" t="n">
        <x:v>7</x:v>
      </x:c>
      <x:c r="J81" s="48" t="n">
        <x:v>7</x:v>
      </x:c>
      <x:c r="K81" s="48" t="n">
        <x:v>56</x:v>
      </x:c>
      <x:c r="L81" s="48" t="str">
        <x:v>Upside</x:v>
      </x:c>
      <x:c r="M81" s="48" t="str">
        <x:v>Target + spike weeks</x:v>
      </x:c>
      <x:c r="N81" s="48" t="n">
        <x:v>8</x:v>
      </x:c>
      <x:c r="O81" s="48" t="n">
        <x:v>8</x:v>
      </x:c>
      <x:c r="P81" s="48" t="n">
        <x:v>7</x:v>
      </x:c>
      <x:c r="Q81" s="48" t="n">
        <x:v>7</x:v>
      </x:c>
      <x:c r="R81" s="48" t="n">
        <x:v>3</x:v>
      </x:c>
      <x:c r="S81" s="49" t="n">
        <x:f>ROUND(N81*VLOOKUP(L81,'Assumptions'!$A$16:$C$19,2,FALSE)+O81*VLOOKUP(L81,'Assumptions'!$A$16:$C$19,3,FALSE)+(P81-5)*0.10+(Q81-5)*0.08+(I81/10)*0.25-(R81-5)*0.10,1)</x:f>
        <x:v>8.7</x:v>
      </x:c>
      <x:c r="T81" s="47" t="str">
        <x:f>IF(U81&lt;&gt;"Use Model",U81,IF(S81&gt;=8.5,"Priority",IF(S81&gt;=7.6,"Target",IF(S81&gt;=6.8,"Watch","Neutral"))))</x:f>
        <x:v>Target</x:v>
      </x:c>
      <x:c r="U81" s="50" t="str">
        <x:v>Target</x:v>
      </x:c>
      <x:c r="V81" s="51" t="str"/>
      <x:c r="W81" s="51" t="str">
        <x:v>ESPN rank 76 is a discount to expert model rank 47; useful stabilizer if earlier picks were volatile.</x:v>
      </x:c>
      <x:c r="X81" s="51" t="str">
        <x:v>Age and new-team uncertainty reduce the long-range ceiling.</x:v>
      </x:c>
      <x:c r="Y81" s="51" t="str">
        <x:v>Christian Watson; Rome Odunze; Brian Thomas Jr.</x:v>
      </x:c>
      <x:c r="Z81" s="51" t="str">
        <x:v>Pair with RB scarcity or premium QB/TE leverage.</x:v>
      </x:c>
      <x:c r="AA81" s="51" t="n">
        <x:v>41</x:v>
      </x:c>
      <x:c r="AB81" s="51" t="n">
        <x:v>56</x:v>
      </x:c>
      <x:c r="AC81" s="51" t="n">
        <x:v>57</x:v>
      </x:c>
      <x:c r="AD81" s="51" t="str">
        <x:v>https://g.espncdn.com/s/ffldraftkit/26/NFL26_CS_PPR300.pdf?adddata=2026CS_PPR300</x:v>
      </x:c>
      <x:c r="AE81" s="51" t="str">
        <x:v>https://fantasyfootballcalculator.com/adp/ppr/8-team/all</x:v>
      </x:c>
      <x:c r="AF81" s="51" t="str">
        <x:v>https://www.rotowire.com/football/article/2026-fantasy-football-rankings-ppr-preseason-week-2-update-129449</x:v>
      </x:c>
      <x:c r="AG81" s="47" t="str">
        <x:f>IF(COUNTIFS('Live Draft'!$D$6:$D$133,8,'Live Draft'!$E$6:$E$133,A81)&gt;0,"My Team",IF(COUNTIF('Live Draft'!$E$6:$E$133,A81)&gt;0,"Other Team","Available"))</x:f>
        <x:v>Available</x:v>
      </x:c>
      <x:c r="AH81" s="52" t="n">
        <x:v>46261</x:v>
      </x:c>
    </x:row>
    <x:row r="82" ht="44" hidden="0" customHeight="1">
      <x:c r="A82" s="46" t="str">
        <x:v>Christian Watson</x:v>
      </x:c>
      <x:c r="B82" s="47" t="str">
        <x:v>WR</x:v>
      </x:c>
      <x:c r="C82" s="47" t="str">
        <x:v>GB</x:v>
      </x:c>
      <x:c r="D82" s="48" t="n">
        <x:v>11</x:v>
      </x:c>
      <x:c r="E82" s="48" t="n">
        <x:v>77</x:v>
      </x:c>
      <x:c r="F82" s="48" t="n">
        <x:v>54</x:v>
      </x:c>
      <x:c r="G82" s="48" t="n">
        <x:v>60</x:v>
      </x:c>
      <x:c r="H82" s="48" t="n">
        <x:v>23</x:v>
      </x:c>
      <x:c r="I82" s="48" t="n">
        <x:v>6</x:v>
      </x:c>
      <x:c r="J82" s="48" t="n">
        <x:v>8</x:v>
      </x:c>
      <x:c r="K82" s="48" t="n">
        <x:v>57</x:v>
      </x:c>
      <x:c r="L82" s="48" t="str">
        <x:v>Upside</x:v>
      </x:c>
      <x:c r="M82" s="48" t="str">
        <x:v>Volatile spike weeks</x:v>
      </x:c>
      <x:c r="N82" s="48" t="n">
        <x:v>6</x:v>
      </x:c>
      <x:c r="O82" s="48" t="n">
        <x:v>9</x:v>
      </x:c>
      <x:c r="P82" s="48" t="n">
        <x:v>7</x:v>
      </x:c>
      <x:c r="Q82" s="48" t="n">
        <x:v>7</x:v>
      </x:c>
      <x:c r="R82" s="48" t="n">
        <x:v>3</x:v>
      </x:c>
      <x:c r="S82" s="49" t="n">
        <x:f>ROUND(N82*VLOOKUP(L82,'Assumptions'!$A$16:$C$19,2,FALSE)+O82*VLOOKUP(L82,'Assumptions'!$A$16:$C$19,3,FALSE)+(P82-5)*0.10+(Q82-5)*0.08+(I82/10)*0.25-(R82-5)*0.10,1)</x:f>
        <x:v>9</x:v>
      </x:c>
      <x:c r="T82" s="47" t="str">
        <x:f>IF(U82&lt;&gt;"Use Model",U82,IF(S82&gt;=8.5,"Priority",IF(S82&gt;=7.6,"Target",IF(S82&gt;=6.8,"Watch","Neutral"))))</x:f>
        <x:v>Priority</x:v>
      </x:c>
      <x:c r="U82" s="50" t="str">
        <x:v>Priority</x:v>
      </x:c>
      <x:c r="V82" s="51" t="str"/>
      <x:c r="W82" s="51" t="str">
        <x:v>Exactly the profile we want after securing starters: ESPN rank 77 leaves room for a major expert-value win.</x:v>
      </x:c>
      <x:c r="X82" s="51" t="str">
        <x:v>Availability and target consistency remain less dependable than the middle-round possession receivers.</x:v>
      </x:c>
      <x:c r="Y82" s="51" t="str">
        <x:v>Rome Odunze; Mike Evans; Brian Thomas Jr.</x:v>
      </x:c>
      <x:c r="Z82" s="51" t="str">
        <x:v>Pair with RB scarcity or premium QB/TE leverage.</x:v>
      </x:c>
      <x:c r="AA82" s="51" t="n">
        <x:v>56</x:v>
      </x:c>
      <x:c r="AB82" s="51" t="n">
        <x:v>57</x:v>
      </x:c>
      <x:c r="AC82" s="51" t="n">
        <x:v>72</x:v>
      </x:c>
      <x:c r="AD82" s="51" t="str">
        <x:v>https://g.espncdn.com/s/ffldraftkit/26/NFL26_CS_PPR300.pdf?adddata=2026CS_PPR300</x:v>
      </x:c>
      <x:c r="AE82" s="51" t="str">
        <x:v>https://fantasyfootballcalculator.com/adp/ppr/8-team/all</x:v>
      </x:c>
      <x:c r="AF82" s="51" t="str">
        <x:v>https://www.rotowire.com/football/article/2026-fantasy-football-rankings-ppr-preseason-week-2-update-129449</x:v>
      </x:c>
      <x:c r="AG82" s="47" t="str">
        <x:f>IF(COUNTIFS('Live Draft'!$D$6:$D$133,8,'Live Draft'!$E$6:$E$133,A82)&gt;0,"My Team",IF(COUNTIF('Live Draft'!$E$6:$E$133,A82)&gt;0,"Other Team","Available"))</x:f>
        <x:v>Available</x:v>
      </x:c>
      <x:c r="AH82" s="52" t="n">
        <x:v>46261</x:v>
      </x:c>
    </x:row>
    <x:row r="83" ht="44" hidden="0" customHeight="1">
      <x:c r="A83" s="46" t="str">
        <x:v>Matthew Golden</x:v>
      </x:c>
      <x:c r="B83" s="47" t="str">
        <x:v>WR</x:v>
      </x:c>
      <x:c r="C83" s="47" t="str">
        <x:v>GB</x:v>
      </x:c>
      <x:c r="D83" s="48" t="n">
        <x:v>11</x:v>
      </x:c>
      <x:c r="E83" s="48" t="n">
        <x:v>78</x:v>
      </x:c>
      <x:c r="F83" s="48" t="n">
        <x:v>109</x:v>
      </x:c>
      <x:c r="G83" s="48" t="n">
        <x:v>111</x:v>
      </x:c>
      <x:c r="H83" s="48" t="n">
        <x:v>-31</x:v>
      </x:c>
      <x:c r="I83" s="48" t="n">
        <x:v>2</x:v>
      </x:c>
      <x:c r="J83" s="48" t="n">
        <x:v>14</x:v>
      </x:c>
      <x:c r="K83" s="48" t="n">
        <x:v>105</x:v>
      </x:c>
      <x:c r="L83" s="48" t="str">
        <x:v>Lottery</x:v>
      </x:c>
      <x:c r="M83" s="48" t="str">
        <x:v>Target + spike weeks</x:v>
      </x:c>
      <x:c r="N83" s="48" t="n">
        <x:v>5</x:v>
      </x:c>
      <x:c r="O83" s="48" t="n">
        <x:v>6</x:v>
      </x:c>
      <x:c r="P83" s="48" t="n">
        <x:v>5</x:v>
      </x:c>
      <x:c r="Q83" s="48" t="n">
        <x:v>5</x:v>
      </x:c>
      <x:c r="R83" s="48" t="n">
        <x:v>3</x:v>
      </x:c>
      <x:c r="S83" s="49" t="n">
        <x:f>ROUND(N83*VLOOKUP(L83,'Assumptions'!$A$16:$C$19,2,FALSE)+O83*VLOOKUP(L83,'Assumptions'!$A$16:$C$19,3,FALSE)+(P83-5)*0.10+(Q83-5)*0.08+(I83/10)*0.25-(R83-5)*0.10,1)</x:f>
        <x:v>6.2</x:v>
      </x:c>
      <x:c r="T83" s="47" t="str">
        <x:f>IF(U83&lt;&gt;"Use Model",U83,IF(S83&gt;=8.5,"Priority",IF(S83&gt;=7.6,"Target",IF(S83&gt;=6.8,"Watch","Neutral"))))</x:f>
        <x:v>Fade</x:v>
      </x:c>
      <x:c r="U83" s="50" t="str">
        <x:v>Fade</x:v>
      </x:c>
      <x:c r="V83" s="51" t="str"/>
      <x:c r="W83" s="51" t="str">
        <x:v>Adds startable target volume and spike-week potential without requiring a rigid positional build.</x:v>
      </x:c>
      <x:c r="X83" s="51" t="str">
        <x:v>The player can be useful without separating enough from readily available waiver-wire alternatives.</x:v>
      </x:c>
      <x:c r="Y83" s="51" t="str">
        <x:v>Use the Turn Board to select the highest remaining player in the same position/value tier.</x:v>
      </x:c>
      <x:c r="Z83" s="51" t="str">
        <x:v>Pair with RB scarcity or premium QB/TE leverage.</x:v>
      </x:c>
      <x:c r="AA83" s="51" t="n">
        <x:v>104</x:v>
      </x:c>
      <x:c r="AB83" s="51" t="n">
        <x:v>105</x:v>
      </x:c>
      <x:c r="AC83" s="51" t="n">
        <x:v>120</x:v>
      </x:c>
      <x:c r="AD83" s="51" t="str">
        <x:v>https://g.espncdn.com/s/ffldraftkit/26/NFL26_CS_PPR300.pdf?adddata=2026CS_PPR300</x:v>
      </x:c>
      <x:c r="AE83" s="51" t="str">
        <x:v>https://fantasyfootballcalculator.com/adp/ppr/8-team/all</x:v>
      </x:c>
      <x:c r="AF83" s="51" t="str">
        <x:v>https://www.rotowire.com/football/article/2026-fantasy-football-rankings-ppr-preseason-week-2-update-129449</x:v>
      </x:c>
      <x:c r="AG83" s="47" t="str">
        <x:f>IF(COUNTIFS('Live Draft'!$D$6:$D$133,8,'Live Draft'!$E$6:$E$133,A83)&gt;0,"My Team",IF(COUNTIF('Live Draft'!$E$6:$E$133,A83)&gt;0,"Other Team","Available"))</x:f>
        <x:v>Available</x:v>
      </x:c>
      <x:c r="AH83" s="52" t="n">
        <x:v>46261</x:v>
      </x:c>
    </x:row>
    <x:row r="84" ht="44" hidden="0" customHeight="1">
      <x:c r="A84" s="46" t="str">
        <x:v>Michael Wilson</x:v>
      </x:c>
      <x:c r="B84" s="47" t="str">
        <x:v>WR</x:v>
      </x:c>
      <x:c r="C84" s="47" t="str">
        <x:v>ARI</x:v>
      </x:c>
      <x:c r="D84" s="48" t="n">
        <x:v>14</x:v>
      </x:c>
      <x:c r="E84" s="48" t="n">
        <x:v>79</x:v>
      </x:c>
      <x:c r="F84" s="48" t="n">
        <x:v>89</x:v>
      </x:c>
      <x:c r="G84" s="48" t="n">
        <x:v>78</x:v>
      </x:c>
      <x:c r="H84" s="48" t="n">
        <x:v>-10</x:v>
      </x:c>
      <x:c r="I84" s="48" t="n">
        <x:v>-11</x:v>
      </x:c>
      <x:c r="J84" s="48" t="n">
        <x:v>11</x:v>
      </x:c>
      <x:c r="K84" s="48" t="n">
        <x:v>88</x:v>
      </x:c>
      <x:c r="L84" s="48" t="str">
        <x:v>Upside</x:v>
      </x:c>
      <x:c r="M84" s="48" t="str">
        <x:v>Target + spike weeks</x:v>
      </x:c>
      <x:c r="N84" s="48" t="n">
        <x:v>6</x:v>
      </x:c>
      <x:c r="O84" s="48" t="n">
        <x:v>7</x:v>
      </x:c>
      <x:c r="P84" s="48" t="n">
        <x:v>6</x:v>
      </x:c>
      <x:c r="Q84" s="48" t="n">
        <x:v>6</x:v>
      </x:c>
      <x:c r="R84" s="48" t="n">
        <x:v>3</x:v>
      </x:c>
      <x:c r="S84" s="49" t="n">
        <x:f>ROUND(N84*VLOOKUP(L84,'Assumptions'!$A$16:$C$19,2,FALSE)+O84*VLOOKUP(L84,'Assumptions'!$A$16:$C$19,3,FALSE)+(P84-5)*0.10+(Q84-5)*0.08+(I84/10)*0.25-(R84-5)*0.10,1)</x:f>
        <x:v>6.9</x:v>
      </x:c>
      <x:c r="T84" s="47" t="str">
        <x:f>IF(U84&lt;&gt;"Use Model",U84,IF(S84&gt;=8.5,"Priority",IF(S84&gt;=7.6,"Target",IF(S84&gt;=6.8,"Watch","Neutral"))))</x:f>
        <x:v>Watch</x:v>
      </x:c>
      <x:c r="U84" s="50" t="str">
        <x:v>Use Model</x:v>
      </x:c>
      <x:c r="V84" s="51" t="str"/>
      <x:c r="W84" s="51" t="str">
        <x:v>Adds startable target volume and spike-week potential without requiring a rigid positional build.</x:v>
      </x:c>
      <x:c r="X84" s="51" t="str">
        <x:v>The player can be useful without separating enough from readily available waiver-wire alternatives.</x:v>
      </x:c>
      <x:c r="Y84" s="51" t="str">
        <x:v>Use the Turn Board to select the highest remaining player in the same position/value tier.</x:v>
      </x:c>
      <x:c r="Z84" s="51" t="str">
        <x:v>Pair with RB scarcity or premium QB/TE leverage.</x:v>
      </x:c>
      <x:c r="AA84" s="51" t="n">
        <x:v>73</x:v>
      </x:c>
      <x:c r="AB84" s="51" t="n">
        <x:v>88</x:v>
      </x:c>
      <x:c r="AC84" s="51" t="n">
        <x:v>89</x:v>
      </x:c>
      <x:c r="AD84" s="51" t="str">
        <x:v>https://g.espncdn.com/s/ffldraftkit/26/NFL26_CS_PPR300.pdf?adddata=2026CS_PPR300</x:v>
      </x:c>
      <x:c r="AE84" s="51" t="str">
        <x:v>https://fantasyfootballcalculator.com/adp/ppr/8-team/all</x:v>
      </x:c>
      <x:c r="AF84" s="51" t="str">
        <x:v>https://www.rotowire.com/football/article/2026-fantasy-football-rankings-ppr-preseason-week-2-update-129449</x:v>
      </x:c>
      <x:c r="AG84" s="47" t="str">
        <x:f>IF(COUNTIFS('Live Draft'!$D$6:$D$133,8,'Live Draft'!$E$6:$E$133,A84)&gt;0,"My Team",IF(COUNTIF('Live Draft'!$E$6:$E$133,A84)&gt;0,"Other Team","Available"))</x:f>
        <x:v>Available</x:v>
      </x:c>
      <x:c r="AH84" s="52" t="n">
        <x:v>46261</x:v>
      </x:c>
    </x:row>
    <x:row r="85" ht="44" hidden="0" customHeight="1">
      <x:c r="A85" s="46" t="str">
        <x:v>Brian Thomas Jr.</x:v>
      </x:c>
      <x:c r="B85" s="47" t="str">
        <x:v>WR</x:v>
      </x:c>
      <x:c r="C85" s="47" t="str">
        <x:v>JAX</x:v>
      </x:c>
      <x:c r="D85" s="48" t="n">
        <x:v>7</x:v>
      </x:c>
      <x:c r="E85" s="48" t="n">
        <x:v>80</x:v>
      </x:c>
      <x:c r="F85" s="48" t="n">
        <x:v>73</x:v>
      </x:c>
      <x:c r="G85" s="48" t="n">
        <x:v>73</x:v>
      </x:c>
      <x:c r="H85" s="48" t="n">
        <x:v>7</x:v>
      </x:c>
      <x:c r="I85" s="48" t="n">
        <x:v>0</x:v>
      </x:c>
      <x:c r="J85" s="48" t="n">
        <x:v>9</x:v>
      </x:c>
      <x:c r="K85" s="48" t="n">
        <x:v>72</x:v>
      </x:c>
      <x:c r="L85" s="48" t="str">
        <x:v>Upside</x:v>
      </x:c>
      <x:c r="M85" s="48" t="str">
        <x:v>Post-hype upside</x:v>
      </x:c>
      <x:c r="N85" s="48" t="n">
        <x:v>6</x:v>
      </x:c>
      <x:c r="O85" s="48" t="n">
        <x:v>9</x:v>
      </x:c>
      <x:c r="P85" s="48" t="n">
        <x:v>6</x:v>
      </x:c>
      <x:c r="Q85" s="48" t="n">
        <x:v>6</x:v>
      </x:c>
      <x:c r="R85" s="48" t="n">
        <x:v>3</x:v>
      </x:c>
      <x:c r="S85" s="49" t="n">
        <x:f>ROUND(N85*VLOOKUP(L85,'Assumptions'!$A$16:$C$19,2,FALSE)+O85*VLOOKUP(L85,'Assumptions'!$A$16:$C$19,3,FALSE)+(P85-5)*0.10+(Q85-5)*0.08+(I85/10)*0.25-(R85-5)*0.10,1)</x:f>
        <x:v>8.6</x:v>
      </x:c>
      <x:c r="T85" s="47" t="str">
        <x:f>IF(U85&lt;&gt;"Use Model",U85,IF(S85&gt;=8.5,"Priority",IF(S85&gt;=7.6,"Target",IF(S85&gt;=6.8,"Watch","Neutral"))))</x:f>
        <x:v>Target</x:v>
      </x:c>
      <x:c r="U85" s="50" t="str">
        <x:v>Target</x:v>
      </x:c>
      <x:c r="V85" s="51" t="str"/>
      <x:c r="W85" s="51" t="str">
        <x:v>Flat model/ADP around 73 makes him a clean Round 9 upside bet rather than an emotional reach.</x:v>
      </x:c>
      <x:c r="X85" s="51" t="str">
        <x:v>Another disappointing volume/efficiency season would leave him as replaceable bench depth.</x:v>
      </x:c>
      <x:c r="Y85" s="51" t="str">
        <x:v>Michael Pittman Jr.; Michael Wilson; Josh Downs</x:v>
      </x:c>
      <x:c r="Z85" s="51" t="str">
        <x:v>Pair with RB scarcity or premium QB/TE leverage.</x:v>
      </x:c>
      <x:c r="AA85" s="51" t="n">
        <x:v>57</x:v>
      </x:c>
      <x:c r="AB85" s="51" t="n">
        <x:v>72</x:v>
      </x:c>
      <x:c r="AC85" s="51" t="n">
        <x:v>73</x:v>
      </x:c>
      <x:c r="AD85" s="51" t="str">
        <x:v>https://g.espncdn.com/s/ffldraftkit/26/NFL26_CS_PPR300.pdf?adddata=2026CS_PPR300</x:v>
      </x:c>
      <x:c r="AE85" s="51" t="str">
        <x:v>https://fantasyfootballcalculator.com/adp/ppr/8-team/all</x:v>
      </x:c>
      <x:c r="AF85" s="51" t="str">
        <x:v>https://www.rotowire.com/football/article/2026-fantasy-football-rankings-ppr-preseason-week-2-update-129449</x:v>
      </x:c>
      <x:c r="AG85" s="47" t="str">
        <x:f>IF(COUNTIFS('Live Draft'!$D$6:$D$133,8,'Live Draft'!$E$6:$E$133,A85)&gt;0,"My Team",IF(COUNTIF('Live Draft'!$E$6:$E$133,A85)&gt;0,"Other Team","Available"))</x:f>
        <x:v>Available</x:v>
      </x:c>
      <x:c r="AH85" s="52" t="n">
        <x:v>46261</x:v>
      </x:c>
    </x:row>
    <x:row r="86" ht="44" hidden="0" customHeight="1">
      <x:c r="A86" s="46" t="str">
        <x:v>Trevor Lawrence</x:v>
      </x:c>
      <x:c r="B86" s="47" t="str">
        <x:v>QB</x:v>
      </x:c>
      <x:c r="C86" s="47" t="str">
        <x:v>JAX</x:v>
      </x:c>
      <x:c r="D86" s="48" t="n">
        <x:v>7</x:v>
      </x:c>
      <x:c r="E86" s="48" t="n">
        <x:v>82</x:v>
      </x:c>
      <x:c r="F86" s="48" t="n">
        <x:v>85</x:v>
      </x:c>
      <x:c r="G86" s="48" t="n">
        <x:v>93</x:v>
      </x:c>
      <x:c r="H86" s="48" t="n">
        <x:v>-3</x:v>
      </x:c>
      <x:c r="I86" s="48" t="n">
        <x:v>8</x:v>
      </x:c>
      <x:c r="J86" s="48" t="n">
        <x:v>11</x:v>
      </x:c>
      <x:c r="K86" s="48" t="n">
        <x:v>88</x:v>
      </x:c>
      <x:c r="L86" s="48" t="str">
        <x:v>Upside</x:v>
      </x:c>
      <x:c r="M86" s="48" t="str">
        <x:v>One-QB value</x:v>
      </x:c>
      <x:c r="N86" s="48" t="n">
        <x:v>6</x:v>
      </x:c>
      <x:c r="O86" s="48" t="n">
        <x:v>7</x:v>
      </x:c>
      <x:c r="P86" s="48" t="n">
        <x:v>6</x:v>
      </x:c>
      <x:c r="Q86" s="48" t="n">
        <x:v>6</x:v>
      </x:c>
      <x:c r="R86" s="48" t="n">
        <x:v>3</x:v>
      </x:c>
      <x:c r="S86" s="49" t="n">
        <x:f>ROUND(N86*VLOOKUP(L86,'Assumptions'!$A$16:$C$19,2,FALSE)+O86*VLOOKUP(L86,'Assumptions'!$A$16:$C$19,3,FALSE)+(P86-5)*0.10+(Q86-5)*0.08+(I86/10)*0.25-(R86-5)*0.10,1)</x:f>
        <x:v>7.3</x:v>
      </x:c>
      <x:c r="T86" s="47" t="str">
        <x:f>IF(U86&lt;&gt;"Use Model",U86,IF(S86&gt;=8.5,"Priority",IF(S86&gt;=7.6,"Target",IF(S86&gt;=6.8,"Watch","Neutral"))))</x:f>
        <x:v>Watch</x:v>
      </x:c>
      <x:c r="U86" s="50" t="str">
        <x:v>Use Model</x:v>
      </x:c>
      <x:c r="V86" s="51" t="str"/>
      <x:c r="W86" s="51" t="str">
        <x:v>Provides one-QB scoring leverage without sacrificing the early RB/WR foundation.</x:v>
      </x:c>
      <x:c r="X86" s="51" t="str">
        <x:v>The player can be useful without separating enough from readily available waiver-wire alternatives.</x:v>
      </x:c>
      <x:c r="Y86" s="51" t="str">
        <x:v>Use the Turn Board to select the highest remaining player in the same position/value tier.</x:v>
      </x:c>
      <x:c r="Z86" s="51" t="str">
        <x:v>Do not draft a second QB.</x:v>
      </x:c>
      <x:c r="AA86" s="51" t="n">
        <x:v>73</x:v>
      </x:c>
      <x:c r="AB86" s="51" t="n">
        <x:v>88</x:v>
      </x:c>
      <x:c r="AC86" s="51" t="n">
        <x:v>89</x:v>
      </x:c>
      <x:c r="AD86" s="51" t="str">
        <x:v>https://g.espncdn.com/s/ffldraftkit/26/NFL26_CS_PPR300.pdf?adddata=2026CS_PPR300</x:v>
      </x:c>
      <x:c r="AE86" s="51" t="str">
        <x:v>https://fantasyfootballcalculator.com/adp/ppr/8-team/all</x:v>
      </x:c>
      <x:c r="AF86" s="51" t="str">
        <x:v>https://www.rotowire.com/football/article/2026-fantasy-football-rankings-ppr-preseason-week-2-update-129449</x:v>
      </x:c>
      <x:c r="AG86" s="47" t="str">
        <x:f>IF(COUNTIFS('Live Draft'!$D$6:$D$133,8,'Live Draft'!$E$6:$E$133,A86)&gt;0,"My Team",IF(COUNTIF('Live Draft'!$E$6:$E$133,A86)&gt;0,"Other Team","Available"))</x:f>
        <x:v>Available</x:v>
      </x:c>
      <x:c r="AH86" s="52" t="n">
        <x:v>46261</x:v>
      </x:c>
    </x:row>
    <x:row r="87" ht="44" hidden="0" customHeight="1">
      <x:c r="A87" s="46" t="str">
        <x:v>Dak Prescott</x:v>
      </x:c>
      <x:c r="B87" s="47" t="str">
        <x:v>QB</x:v>
      </x:c>
      <x:c r="C87" s="47" t="str">
        <x:v>DAL</x:v>
      </x:c>
      <x:c r="D87" s="48" t="n">
        <x:v>14</x:v>
      </x:c>
      <x:c r="E87" s="48" t="n">
        <x:v>83</x:v>
      </x:c>
      <x:c r="F87" s="48" t="n">
        <x:v>84</x:v>
      </x:c>
      <x:c r="G87" s="48" t="n">
        <x:v>67</x:v>
      </x:c>
      <x:c r="H87" s="48" t="n">
        <x:v>-1</x:v>
      </x:c>
      <x:c r="I87" s="48" t="n">
        <x:v>-17</x:v>
      </x:c>
      <x:c r="J87" s="48" t="n">
        <x:v>9</x:v>
      </x:c>
      <x:c r="K87" s="48" t="n">
        <x:v>72</x:v>
      </x:c>
      <x:c r="L87" s="48" t="str">
        <x:v>Upside</x:v>
      </x:c>
      <x:c r="M87" s="48" t="str">
        <x:v>One-QB value</x:v>
      </x:c>
      <x:c r="N87" s="48" t="n">
        <x:v>8</x:v>
      </x:c>
      <x:c r="O87" s="48" t="n">
        <x:v>8</x:v>
      </x:c>
      <x:c r="P87" s="48" t="n">
        <x:v>6</x:v>
      </x:c>
      <x:c r="Q87" s="48" t="n">
        <x:v>6</x:v>
      </x:c>
      <x:c r="R87" s="48" t="n">
        <x:v>3</x:v>
      </x:c>
      <x:c r="S87" s="49" t="n">
        <x:f>ROUND(N87*VLOOKUP(L87,'Assumptions'!$A$16:$C$19,2,FALSE)+O87*VLOOKUP(L87,'Assumptions'!$A$16:$C$19,3,FALSE)+(P87-5)*0.10+(Q87-5)*0.08+(I87/10)*0.25-(R87-5)*0.10,1)</x:f>
        <x:v>8</x:v>
      </x:c>
      <x:c r="T87" s="47" t="str">
        <x:f>IF(U87&lt;&gt;"Use Model",U87,IF(S87&gt;=8.5,"Priority",IF(S87&gt;=7.6,"Target",IF(S87&gt;=6.8,"Watch","Neutral"))))</x:f>
        <x:v>Target</x:v>
      </x:c>
      <x:c r="U87" s="50" t="str">
        <x:v>Target</x:v>
      </x:c>
      <x:c r="V87" s="51" t="str"/>
      <x:c r="W87" s="51" t="str">
        <x:v>A strong wait-on-QB outcome if the premium tier is pushed up; market price is much later than ESPN.</x:v>
      </x:c>
      <x:c r="X87" s="51" t="str">
        <x:v>No rushing floor means he needs strong passing touchdown volume to separate.</x:v>
      </x:c>
      <x:c r="Y87" s="51" t="str">
        <x:v>Jayden Daniels; Caleb Williams; Trevor Lawrence</x:v>
      </x:c>
      <x:c r="Z87" s="51" t="str">
        <x:v>Do not draft a second QB.</x:v>
      </x:c>
      <x:c r="AA87" s="51" t="n">
        <x:v>57</x:v>
      </x:c>
      <x:c r="AB87" s="51" t="n">
        <x:v>72</x:v>
      </x:c>
      <x:c r="AC87" s="51" t="n">
        <x:v>73</x:v>
      </x:c>
      <x:c r="AD87" s="51" t="str">
        <x:v>https://g.espncdn.com/s/ffldraftkit/26/NFL26_CS_PPR300.pdf?adddata=2026CS_PPR300</x:v>
      </x:c>
      <x:c r="AE87" s="51" t="str">
        <x:v>https://fantasyfootballcalculator.com/adp/ppr/8-team/all</x:v>
      </x:c>
      <x:c r="AF87" s="51" t="str">
        <x:v>https://www.rotowire.com/football/article/2026-fantasy-football-rankings-ppr-preseason-week-2-update-129449</x:v>
      </x:c>
      <x:c r="AG87" s="47" t="str">
        <x:f>IF(COUNTIFS('Live Draft'!$D$6:$D$133,8,'Live Draft'!$E$6:$E$133,A87)&gt;0,"My Team",IF(COUNTIF('Live Draft'!$E$6:$E$133,A87)&gt;0,"Other Team","Available"))</x:f>
        <x:v>Available</x:v>
      </x:c>
      <x:c r="AH87" s="52" t="n">
        <x:v>46261</x:v>
      </x:c>
    </x:row>
    <x:row r="88" ht="44" hidden="0" customHeight="1">
      <x:c r="A88" s="46" t="str">
        <x:v>Brock Purdy</x:v>
      </x:c>
      <x:c r="B88" s="47" t="str">
        <x:v>QB</x:v>
      </x:c>
      <x:c r="C88" s="47" t="str">
        <x:v>SF</x:v>
      </x:c>
      <x:c r="D88" s="48" t="n">
        <x:v>8</x:v>
      </x:c>
      <x:c r="E88" s="48" t="n">
        <x:v>85</x:v>
      </x:c>
      <x:c r="F88" s="48" t="n">
        <x:v>100</x:v>
      </x:c>
      <x:c r="G88" s="48" t="n">
        <x:v>89</x:v>
      </x:c>
      <x:c r="H88" s="48" t="n">
        <x:v>-15</x:v>
      </x:c>
      <x:c r="I88" s="48" t="n">
        <x:v>-11</x:v>
      </x:c>
      <x:c r="J88" s="48" t="n">
        <x:v>12</x:v>
      </x:c>
      <x:c r="K88" s="48" t="n">
        <x:v>89</x:v>
      </x:c>
      <x:c r="L88" s="48" t="str">
        <x:v>Upside</x:v>
      </x:c>
      <x:c r="M88" s="48" t="str">
        <x:v>One-QB value</x:v>
      </x:c>
      <x:c r="N88" s="48" t="n">
        <x:v>5</x:v>
      </x:c>
      <x:c r="O88" s="48" t="n">
        <x:v>6</x:v>
      </x:c>
      <x:c r="P88" s="48" t="n">
        <x:v>5</x:v>
      </x:c>
      <x:c r="Q88" s="48" t="n">
        <x:v>5</x:v>
      </x:c>
      <x:c r="R88" s="48" t="n">
        <x:v>3</x:v>
      </x:c>
      <x:c r="S88" s="49" t="n">
        <x:f>ROUND(N88*VLOOKUP(L88,'Assumptions'!$A$16:$C$19,2,FALSE)+O88*VLOOKUP(L88,'Assumptions'!$A$16:$C$19,3,FALSE)+(P88-5)*0.10+(Q88-5)*0.08+(I88/10)*0.25-(R88-5)*0.10,1)</x:f>
        <x:v>5.7</x:v>
      </x:c>
      <x:c r="T88" s="47" t="str">
        <x:f>IF(U88&lt;&gt;"Use Model",U88,IF(S88&gt;=8.5,"Priority",IF(S88&gt;=7.6,"Target",IF(S88&gt;=6.8,"Watch","Neutral"))))</x:f>
        <x:v>Fade</x:v>
      </x:c>
      <x:c r="U88" s="50" t="str">
        <x:v>Fade</x:v>
      </x:c>
      <x:c r="V88" s="51" t="str"/>
      <x:c r="W88" s="51" t="str">
        <x:v>Provides one-QB scoring leverage without sacrificing the early RB/WR foundation.</x:v>
      </x:c>
      <x:c r="X88" s="51" t="str">
        <x:v>The player can be useful without separating enough from readily available waiver-wire alternatives.</x:v>
      </x:c>
      <x:c r="Y88" s="51" t="str">
        <x:v>Use the Turn Board to select the highest remaining player in the same position/value tier.</x:v>
      </x:c>
      <x:c r="Z88" s="51" t="str">
        <x:v>Do not draft a second QB.</x:v>
      </x:c>
      <x:c r="AA88" s="51" t="n">
        <x:v>88</x:v>
      </x:c>
      <x:c r="AB88" s="51" t="n">
        <x:v>89</x:v>
      </x:c>
      <x:c r="AC88" s="51" t="n">
        <x:v>104</x:v>
      </x:c>
      <x:c r="AD88" s="51" t="str">
        <x:v>https://g.espncdn.com/s/ffldraftkit/26/NFL26_CS_PPR300.pdf?adddata=2026CS_PPR300</x:v>
      </x:c>
      <x:c r="AE88" s="51" t="str">
        <x:v>https://fantasyfootballcalculator.com/adp/ppr/8-team/all</x:v>
      </x:c>
      <x:c r="AF88" s="51" t="str">
        <x:v>https://www.rotowire.com/football/article/2026-fantasy-football-rankings-ppr-preseason-week-2-update-129449</x:v>
      </x:c>
      <x:c r="AG88" s="47" t="str">
        <x:f>IF(COUNTIFS('Live Draft'!$D$6:$D$133,8,'Live Draft'!$E$6:$E$133,A88)&gt;0,"My Team",IF(COUNTIF('Live Draft'!$E$6:$E$133,A88)&gt;0,"Other Team","Available"))</x:f>
        <x:v>Available</x:v>
      </x:c>
      <x:c r="AH88" s="52" t="n">
        <x:v>46261</x:v>
      </x:c>
    </x:row>
    <x:row r="89" ht="44" hidden="0" customHeight="1">
      <x:c r="A89" s="46" t="str">
        <x:v>Caleb Williams</x:v>
      </x:c>
      <x:c r="B89" s="47" t="str">
        <x:v>QB</x:v>
      </x:c>
      <x:c r="C89" s="47" t="str">
        <x:v>CHI</x:v>
      </x:c>
      <x:c r="D89" s="48" t="n">
        <x:v>10</x:v>
      </x:c>
      <x:c r="E89" s="48" t="n">
        <x:v>87</x:v>
      </x:c>
      <x:c r="F89" s="48" t="n">
        <x:v>69</x:v>
      </x:c>
      <x:c r="G89" s="48" t="n">
        <x:v>92</x:v>
      </x:c>
      <x:c r="H89" s="48" t="n">
        <x:v>18</x:v>
      </x:c>
      <x:c r="I89" s="48" t="n">
        <x:v>23</x:v>
      </x:c>
      <x:c r="J89" s="48" t="n">
        <x:v>10</x:v>
      </x:c>
      <x:c r="K89" s="48" t="n">
        <x:v>73</x:v>
      </x:c>
      <x:c r="L89" s="48" t="str">
        <x:v>Upside</x:v>
      </x:c>
      <x:c r="M89" s="48" t="str">
        <x:v>One-QB value</x:v>
      </x:c>
      <x:c r="N89" s="48" t="n">
        <x:v>6</x:v>
      </x:c>
      <x:c r="O89" s="48" t="n">
        <x:v>7</x:v>
      </x:c>
      <x:c r="P89" s="48" t="n">
        <x:v>6</x:v>
      </x:c>
      <x:c r="Q89" s="48" t="n">
        <x:v>6</x:v>
      </x:c>
      <x:c r="R89" s="48" t="n">
        <x:v>3</x:v>
      </x:c>
      <x:c r="S89" s="49" t="n">
        <x:f>ROUND(N89*VLOOKUP(L89,'Assumptions'!$A$16:$C$19,2,FALSE)+O89*VLOOKUP(L89,'Assumptions'!$A$16:$C$19,3,FALSE)+(P89-5)*0.10+(Q89-5)*0.08+(I89/10)*0.25-(R89-5)*0.10,1)</x:f>
        <x:v>7.7</x:v>
      </x:c>
      <x:c r="T89" s="47" t="str">
        <x:f>IF(U89&lt;&gt;"Use Model",U89,IF(S89&gt;=8.5,"Priority",IF(S89&gt;=7.6,"Target",IF(S89&gt;=6.8,"Watch","Neutral"))))</x:f>
        <x:v>Target</x:v>
      </x:c>
      <x:c r="U89" s="50" t="str">
        <x:v>Target</x:v>
      </x:c>
      <x:c r="V89" s="51" t="str"/>
      <x:c r="W89" s="51" t="str">
        <x:v>Provides one-QB scoring leverage without sacrificing the early RB/WR foundation.</x:v>
      </x:c>
      <x:c r="X89" s="51" t="str">
        <x:v>The player can be useful without separating enough from readily available waiver-wire alternatives.</x:v>
      </x:c>
      <x:c r="Y89" s="51" t="str">
        <x:v>Use the Turn Board to select the highest remaining player in the same position/value tier.</x:v>
      </x:c>
      <x:c r="Z89" s="51" t="str">
        <x:v>Do not draft a second QB.</x:v>
      </x:c>
      <x:c r="AA89" s="51" t="n">
        <x:v>72</x:v>
      </x:c>
      <x:c r="AB89" s="51" t="n">
        <x:v>73</x:v>
      </x:c>
      <x:c r="AC89" s="51" t="n">
        <x:v>88</x:v>
      </x:c>
      <x:c r="AD89" s="51" t="str">
        <x:v>https://g.espncdn.com/s/ffldraftkit/26/NFL26_CS_PPR300.pdf?adddata=2026CS_PPR300</x:v>
      </x:c>
      <x:c r="AE89" s="51" t="str">
        <x:v>https://fantasyfootballcalculator.com/adp/ppr/8-team/all</x:v>
      </x:c>
      <x:c r="AF89" s="51" t="str">
        <x:v>https://www.rotowire.com/football/article/2026-fantasy-football-rankings-ppr-preseason-week-2-update-129449</x:v>
      </x:c>
      <x:c r="AG89" s="47" t="str">
        <x:f>IF(COUNTIFS('Live Draft'!$D$6:$D$133,8,'Live Draft'!$E$6:$E$133,A89)&gt;0,"My Team",IF(COUNTIF('Live Draft'!$E$6:$E$133,A89)&gt;0,"Other Team","Available"))</x:f>
        <x:v>Available</x:v>
      </x:c>
      <x:c r="AH89" s="52" t="n">
        <x:v>46261</x:v>
      </x:c>
    </x:row>
    <x:row r="90" ht="44" hidden="0" customHeight="1">
      <x:c r="A90" s="46" t="str">
        <x:v>Jordan Addison</x:v>
      </x:c>
      <x:c r="B90" s="47" t="str">
        <x:v>WR</x:v>
      </x:c>
      <x:c r="C90" s="47" t="str">
        <x:v>MIN</x:v>
      </x:c>
      <x:c r="D90" s="48" t="n">
        <x:v>6</x:v>
      </x:c>
      <x:c r="E90" s="48" t="n">
        <x:v>89</x:v>
      </x:c>
      <x:c r="F90" s="48" t="n">
        <x:v>101</x:v>
      </x:c>
      <x:c r="G90" s="48" t="n">
        <x:v>100</x:v>
      </x:c>
      <x:c r="H90" s="48" t="n">
        <x:v>-12</x:v>
      </x:c>
      <x:c r="I90" s="48" t="n">
        <x:v>-1</x:v>
      </x:c>
      <x:c r="J90" s="48" t="n">
        <x:v>13</x:v>
      </x:c>
      <x:c r="K90" s="48" t="n">
        <x:v>104</x:v>
      </x:c>
      <x:c r="L90" s="48" t="str">
        <x:v>Lottery</x:v>
      </x:c>
      <x:c r="M90" s="48" t="str">
        <x:v>Target + spike weeks</x:v>
      </x:c>
      <x:c r="N90" s="48" t="n">
        <x:v>5</x:v>
      </x:c>
      <x:c r="O90" s="48" t="n">
        <x:v>6</x:v>
      </x:c>
      <x:c r="P90" s="48" t="n">
        <x:v>5</x:v>
      </x:c>
      <x:c r="Q90" s="48" t="n">
        <x:v>5</x:v>
      </x:c>
      <x:c r="R90" s="48" t="n">
        <x:v>3</x:v>
      </x:c>
      <x:c r="S90" s="49" t="n">
        <x:f>ROUND(N90*VLOOKUP(L90,'Assumptions'!$A$16:$C$19,2,FALSE)+O90*VLOOKUP(L90,'Assumptions'!$A$16:$C$19,3,FALSE)+(P90-5)*0.10+(Q90-5)*0.08+(I90/10)*0.25-(R90-5)*0.10,1)</x:f>
        <x:v>6.1</x:v>
      </x:c>
      <x:c r="T90" s="47" t="str">
        <x:f>IF(U90&lt;&gt;"Use Model",U90,IF(S90&gt;=8.5,"Priority",IF(S90&gt;=7.6,"Target",IF(S90&gt;=6.8,"Watch","Neutral"))))</x:f>
        <x:v>Neutral</x:v>
      </x:c>
      <x:c r="U90" s="50" t="str">
        <x:v>Use Model</x:v>
      </x:c>
      <x:c r="V90" s="51" t="str"/>
      <x:c r="W90" s="51" t="str">
        <x:v>Adds startable target volume and spike-week potential without requiring a rigid positional build.</x:v>
      </x:c>
      <x:c r="X90" s="51" t="str">
        <x:v>The player can be useful without separating enough from readily available waiver-wire alternatives.</x:v>
      </x:c>
      <x:c r="Y90" s="51" t="str">
        <x:v>Use the Turn Board to select the highest remaining player in the same position/value tier.</x:v>
      </x:c>
      <x:c r="Z90" s="51" t="str">
        <x:v>Pair with RB scarcity or premium QB/TE leverage.</x:v>
      </x:c>
      <x:c r="AA90" s="51" t="n">
        <x:v>89</x:v>
      </x:c>
      <x:c r="AB90" s="51" t="n">
        <x:v>104</x:v>
      </x:c>
      <x:c r="AC90" s="51" t="n">
        <x:v>105</x:v>
      </x:c>
      <x:c r="AD90" s="51" t="str">
        <x:v>https://g.espncdn.com/s/ffldraftkit/26/NFL26_CS_PPR300.pdf?adddata=2026CS_PPR300</x:v>
      </x:c>
      <x:c r="AE90" s="51" t="str">
        <x:v>https://fantasyfootballcalculator.com/adp/ppr/8-team/all</x:v>
      </x:c>
      <x:c r="AF90" s="51" t="str">
        <x:v>https://www.rotowire.com/football/article/2026-fantasy-football-rankings-ppr-preseason-week-2-update-129449</x:v>
      </x:c>
      <x:c r="AG90" s="47" t="str">
        <x:f>IF(COUNTIFS('Live Draft'!$D$6:$D$133,8,'Live Draft'!$E$6:$E$133,A90)&gt;0,"My Team",IF(COUNTIF('Live Draft'!$E$6:$E$133,A90)&gt;0,"Other Team","Available"))</x:f>
        <x:v>Available</x:v>
      </x:c>
      <x:c r="AH90" s="52" t="n">
        <x:v>46261</x:v>
      </x:c>
    </x:row>
    <x:row r="91" ht="44" hidden="0" customHeight="1">
      <x:c r="A91" s="46" t="str">
        <x:v>Khalil Shakir</x:v>
      </x:c>
      <x:c r="B91" s="47" t="str">
        <x:v>WR</x:v>
      </x:c>
      <x:c r="C91" s="47" t="str">
        <x:v>BUF</x:v>
      </x:c>
      <x:c r="D91" s="48" t="n">
        <x:v>7</x:v>
      </x:c>
      <x:c r="E91" s="48" t="n">
        <x:v>90</x:v>
      </x:c>
      <x:c r="F91" s="48" t="n">
        <x:v>132</x:v>
      </x:c>
      <x:c r="G91" s="48" t="n">
        <x:v>105</x:v>
      </x:c>
      <x:c r="H91" s="48" t="n">
        <x:v>-42</x:v>
      </x:c>
      <x:c r="I91" s="48" t="n">
        <x:v>-27</x:v>
      </x:c>
      <x:c r="J91" s="48" t="n">
        <x:v>16</x:v>
      </x:c>
      <x:c r="K91" s="48" t="n">
        <x:v>121</x:v>
      </x:c>
      <x:c r="L91" s="48" t="str">
        <x:v>Lottery</x:v>
      </x:c>
      <x:c r="M91" s="48" t="str">
        <x:v>Target + spike weeks</x:v>
      </x:c>
      <x:c r="N91" s="48" t="n">
        <x:v>5</x:v>
      </x:c>
      <x:c r="O91" s="48" t="n">
        <x:v>6</x:v>
      </x:c>
      <x:c r="P91" s="48" t="n">
        <x:v>5</x:v>
      </x:c>
      <x:c r="Q91" s="48" t="n">
        <x:v>5</x:v>
      </x:c>
      <x:c r="R91" s="48" t="n">
        <x:v>3</x:v>
      </x:c>
      <x:c r="S91" s="49" t="n">
        <x:f>ROUND(N91*VLOOKUP(L91,'Assumptions'!$A$16:$C$19,2,FALSE)+O91*VLOOKUP(L91,'Assumptions'!$A$16:$C$19,3,FALSE)+(P91-5)*0.10+(Q91-5)*0.08+(I91/10)*0.25-(R91-5)*0.10,1)</x:f>
        <x:v>5.4</x:v>
      </x:c>
      <x:c r="T91" s="47" t="str">
        <x:f>IF(U91&lt;&gt;"Use Model",U91,IF(S91&gt;=8.5,"Priority",IF(S91&gt;=7.6,"Target",IF(S91&gt;=6.8,"Watch","Neutral"))))</x:f>
        <x:v>Fade</x:v>
      </x:c>
      <x:c r="U91" s="50" t="str">
        <x:v>Fade</x:v>
      </x:c>
      <x:c r="V91" s="51" t="str"/>
      <x:c r="W91" s="51" t="str">
        <x:v>Adds startable target volume and spike-week potential without requiring a rigid positional build.</x:v>
      </x:c>
      <x:c r="X91" s="51" t="str">
        <x:v>The player can be useful without separating enough from readily available waiver-wire alternatives.</x:v>
      </x:c>
      <x:c r="Y91" s="51" t="str">
        <x:v>Use the Turn Board to select the highest remaining player in the same position/value tier.</x:v>
      </x:c>
      <x:c r="Z91" s="51" t="str">
        <x:v>Pair with RB scarcity or premium QB/TE leverage.</x:v>
      </x:c>
      <x:c r="AA91" s="51" t="n">
        <x:v>120</x:v>
      </x:c>
      <x:c r="AB91" s="51" t="n">
        <x:v>121</x:v>
      </x:c>
      <x:c r="AC91" s="51" t="n">
        <x:v>121</x:v>
      </x:c>
      <x:c r="AD91" s="51" t="str">
        <x:v>https://g.espncdn.com/s/ffldraftkit/26/NFL26_CS_PPR300.pdf?adddata=2026CS_PPR300</x:v>
      </x:c>
      <x:c r="AE91" s="51" t="str">
        <x:v>https://fantasyfootballcalculator.com/adp/ppr/8-team/all</x:v>
      </x:c>
      <x:c r="AF91" s="51" t="str">
        <x:v>https://www.rotowire.com/football/article/2026-fantasy-football-rankings-ppr-preseason-week-2-update-129449</x:v>
      </x:c>
      <x:c r="AG91" s="47" t="str">
        <x:f>IF(COUNTIFS('Live Draft'!$D$6:$D$133,8,'Live Draft'!$E$6:$E$133,A91)&gt;0,"My Team",IF(COUNTIF('Live Draft'!$E$6:$E$133,A91)&gt;0,"Other Team","Available"))</x:f>
        <x:v>Available</x:v>
      </x:c>
      <x:c r="AH91" s="52" t="n">
        <x:v>46261</x:v>
      </x:c>
    </x:row>
    <x:row r="92" ht="44" hidden="0" customHeight="1">
      <x:c r="A92" s="46" t="str">
        <x:v>Jayden Reed</x:v>
      </x:c>
      <x:c r="B92" s="47" t="str">
        <x:v>WR</x:v>
      </x:c>
      <x:c r="C92" s="47" t="str">
        <x:v>GB</x:v>
      </x:c>
      <x:c r="D92" s="48" t="n">
        <x:v>11</x:v>
      </x:c>
      <x:c r="E92" s="48" t="n">
        <x:v>91</x:v>
      </x:c>
      <x:c r="F92" s="48" t="n">
        <x:v>87</x:v>
      </x:c>
      <x:c r="G92" s="48" t="n">
        <x:v>97</x:v>
      </x:c>
      <x:c r="H92" s="48" t="n">
        <x:v>4</x:v>
      </x:c>
      <x:c r="I92" s="48" t="n">
        <x:v>10</x:v>
      </x:c>
      <x:c r="J92" s="48" t="n">
        <x:v>12</x:v>
      </x:c>
      <x:c r="K92" s="48" t="n">
        <x:v>89</x:v>
      </x:c>
      <x:c r="L92" s="48" t="str">
        <x:v>Upside</x:v>
      </x:c>
      <x:c r="M92" s="48" t="str">
        <x:v>Target + spike weeks</x:v>
      </x:c>
      <x:c r="N92" s="48" t="n">
        <x:v>6</x:v>
      </x:c>
      <x:c r="O92" s="48" t="n">
        <x:v>7</x:v>
      </x:c>
      <x:c r="P92" s="48" t="n">
        <x:v>6</x:v>
      </x:c>
      <x:c r="Q92" s="48" t="n">
        <x:v>6</x:v>
      </x:c>
      <x:c r="R92" s="48" t="n">
        <x:v>3</x:v>
      </x:c>
      <x:c r="S92" s="49" t="n">
        <x:f>ROUND(N92*VLOOKUP(L92,'Assumptions'!$A$16:$C$19,2,FALSE)+O92*VLOOKUP(L92,'Assumptions'!$A$16:$C$19,3,FALSE)+(P92-5)*0.10+(Q92-5)*0.08+(I92/10)*0.25-(R92-5)*0.10,1)</x:f>
        <x:v>7.4</x:v>
      </x:c>
      <x:c r="T92" s="47" t="str">
        <x:f>IF(U92&lt;&gt;"Use Model",U92,IF(S92&gt;=8.5,"Priority",IF(S92&gt;=7.6,"Target",IF(S92&gt;=6.8,"Watch","Neutral"))))</x:f>
        <x:v>Watch</x:v>
      </x:c>
      <x:c r="U92" s="50" t="str">
        <x:v>Use Model</x:v>
      </x:c>
      <x:c r="V92" s="51" t="str"/>
      <x:c r="W92" s="51" t="str">
        <x:v>Adds startable target volume and spike-week potential without requiring a rigid positional build.</x:v>
      </x:c>
      <x:c r="X92" s="51" t="str">
        <x:v>The player can be useful without separating enough from readily available waiver-wire alternatives.</x:v>
      </x:c>
      <x:c r="Y92" s="51" t="str">
        <x:v>Use the Turn Board to select the highest remaining player in the same position/value tier.</x:v>
      </x:c>
      <x:c r="Z92" s="51" t="str">
        <x:v>Pair with RB scarcity or premium QB/TE leverage.</x:v>
      </x:c>
      <x:c r="AA92" s="51" t="n">
        <x:v>88</x:v>
      </x:c>
      <x:c r="AB92" s="51" t="n">
        <x:v>89</x:v>
      </x:c>
      <x:c r="AC92" s="51" t="n">
        <x:v>104</x:v>
      </x:c>
      <x:c r="AD92" s="51" t="str">
        <x:v>https://g.espncdn.com/s/ffldraftkit/26/NFL26_CS_PPR300.pdf?adddata=2026CS_PPR300</x:v>
      </x:c>
      <x:c r="AE92" s="51" t="str">
        <x:v>https://fantasyfootballcalculator.com/adp/ppr/8-team/all</x:v>
      </x:c>
      <x:c r="AF92" s="51" t="str">
        <x:v>https://www.rotowire.com/football/article/2026-fantasy-football-rankings-ppr-preseason-week-2-update-129449</x:v>
      </x:c>
      <x:c r="AG92" s="47" t="str">
        <x:f>IF(COUNTIFS('Live Draft'!$D$6:$D$133,8,'Live Draft'!$E$6:$E$133,A92)&gt;0,"My Team",IF(COUNTIF('Live Draft'!$E$6:$E$133,A92)&gt;0,"Other Team","Available"))</x:f>
        <x:v>Available</x:v>
      </x:c>
      <x:c r="AH92" s="52" t="n">
        <x:v>46261</x:v>
      </x:c>
    </x:row>
    <x:row r="93" ht="44" hidden="0" customHeight="1">
      <x:c r="A93" s="46" t="str">
        <x:v>Xavier Worthy</x:v>
      </x:c>
      <x:c r="B93" s="47" t="str">
        <x:v>WR</x:v>
      </x:c>
      <x:c r="C93" s="47" t="str">
        <x:v>KC</x:v>
      </x:c>
      <x:c r="D93" s="48" t="n">
        <x:v>5</x:v>
      </x:c>
      <x:c r="E93" s="48" t="n">
        <x:v>92</x:v>
      </x:c>
      <x:c r="F93" s="48" t="n">
        <x:v>123</x:v>
      </x:c>
      <x:c r="G93" s="48" t="n">
        <x:v>109</x:v>
      </x:c>
      <x:c r="H93" s="48" t="n">
        <x:v>-31</x:v>
      </x:c>
      <x:c r="I93" s="48" t="n">
        <x:v>-14</x:v>
      </x:c>
      <x:c r="J93" s="48" t="n">
        <x:v>15</x:v>
      </x:c>
      <x:c r="K93" s="48" t="n">
        <x:v>120</x:v>
      </x:c>
      <x:c r="L93" s="48" t="str">
        <x:v>Lottery</x:v>
      </x:c>
      <x:c r="M93" s="48" t="str">
        <x:v>Target + spike weeks</x:v>
      </x:c>
      <x:c r="N93" s="48" t="n">
        <x:v>5</x:v>
      </x:c>
      <x:c r="O93" s="48" t="n">
        <x:v>6</x:v>
      </x:c>
      <x:c r="P93" s="48" t="n">
        <x:v>5</x:v>
      </x:c>
      <x:c r="Q93" s="48" t="n">
        <x:v>5</x:v>
      </x:c>
      <x:c r="R93" s="48" t="n">
        <x:v>3</x:v>
      </x:c>
      <x:c r="S93" s="49" t="n">
        <x:f>ROUND(N93*VLOOKUP(L93,'Assumptions'!$A$16:$C$19,2,FALSE)+O93*VLOOKUP(L93,'Assumptions'!$A$16:$C$19,3,FALSE)+(P93-5)*0.10+(Q93-5)*0.08+(I93/10)*0.25-(R93-5)*0.10,1)</x:f>
        <x:v>5.8</x:v>
      </x:c>
      <x:c r="T93" s="47" t="str">
        <x:f>IF(U93&lt;&gt;"Use Model",U93,IF(S93&gt;=8.5,"Priority",IF(S93&gt;=7.6,"Target",IF(S93&gt;=6.8,"Watch","Neutral"))))</x:f>
        <x:v>Fade</x:v>
      </x:c>
      <x:c r="U93" s="50" t="str">
        <x:v>Fade</x:v>
      </x:c>
      <x:c r="V93" s="51" t="str"/>
      <x:c r="W93" s="51" t="str">
        <x:v>Adds startable target volume and spike-week potential without requiring a rigid positional build.</x:v>
      </x:c>
      <x:c r="X93" s="51" t="str">
        <x:v>The player can be useful without separating enough from readily available waiver-wire alternatives.</x:v>
      </x:c>
      <x:c r="Y93" s="51" t="str">
        <x:v>Use the Turn Board to select the highest remaining player in the same position/value tier.</x:v>
      </x:c>
      <x:c r="Z93" s="51" t="str">
        <x:v>Pair with RB scarcity or premium QB/TE leverage.</x:v>
      </x:c>
      <x:c r="AA93" s="51" t="n">
        <x:v>105</x:v>
      </x:c>
      <x:c r="AB93" s="51" t="n">
        <x:v>120</x:v>
      </x:c>
      <x:c r="AC93" s="51" t="n">
        <x:v>121</x:v>
      </x:c>
      <x:c r="AD93" s="51" t="str">
        <x:v>https://g.espncdn.com/s/ffldraftkit/26/NFL26_CS_PPR300.pdf?adddata=2026CS_PPR300</x:v>
      </x:c>
      <x:c r="AE93" s="51" t="str">
        <x:v>https://fantasyfootballcalculator.com/adp/ppr/8-team/all</x:v>
      </x:c>
      <x:c r="AF93" s="51" t="str">
        <x:v>https://www.rotowire.com/football/article/2026-fantasy-football-rankings-ppr-preseason-week-2-update-129449</x:v>
      </x:c>
      <x:c r="AG93" s="47" t="str">
        <x:f>IF(COUNTIFS('Live Draft'!$D$6:$D$133,8,'Live Draft'!$E$6:$E$133,A93)&gt;0,"My Team",IF(COUNTIF('Live Draft'!$E$6:$E$133,A93)&gt;0,"Other Team","Available"))</x:f>
        <x:v>Available</x:v>
      </x:c>
      <x:c r="AH93" s="52" t="n">
        <x:v>46261</x:v>
      </x:c>
    </x:row>
    <x:row r="94" ht="44" hidden="0" customHeight="1">
      <x:c r="A94" s="46" t="str">
        <x:v>Justin Herbert</x:v>
      </x:c>
      <x:c r="B94" s="47" t="str">
        <x:v>QB</x:v>
      </x:c>
      <x:c r="C94" s="47" t="str">
        <x:v>LAC</x:v>
      </x:c>
      <x:c r="D94" s="48" t="n">
        <x:v>7</x:v>
      </x:c>
      <x:c r="E94" s="48" t="n">
        <x:v>93</x:v>
      </x:c>
      <x:c r="F94" s="48" t="n">
        <x:v>77</x:v>
      </x:c>
      <x:c r="G94" s="48" t="n">
        <x:v>108</x:v>
      </x:c>
      <x:c r="H94" s="48" t="n">
        <x:v>16</x:v>
      </x:c>
      <x:c r="I94" s="48" t="n">
        <x:v>31</x:v>
      </x:c>
      <x:c r="J94" s="48" t="n">
        <x:v>11</x:v>
      </x:c>
      <x:c r="K94" s="48" t="n">
        <x:v>88</x:v>
      </x:c>
      <x:c r="L94" s="48" t="str">
        <x:v>Upside</x:v>
      </x:c>
      <x:c r="M94" s="48" t="str">
        <x:v>One-QB value</x:v>
      </x:c>
      <x:c r="N94" s="48" t="n">
        <x:v>6</x:v>
      </x:c>
      <x:c r="O94" s="48" t="n">
        <x:v>7</x:v>
      </x:c>
      <x:c r="P94" s="48" t="n">
        <x:v>6</x:v>
      </x:c>
      <x:c r="Q94" s="48" t="n">
        <x:v>6</x:v>
      </x:c>
      <x:c r="R94" s="48" t="n">
        <x:v>3</x:v>
      </x:c>
      <x:c r="S94" s="49" t="n">
        <x:f>ROUND(N94*VLOOKUP(L94,'Assumptions'!$A$16:$C$19,2,FALSE)+O94*VLOOKUP(L94,'Assumptions'!$A$16:$C$19,3,FALSE)+(P94-5)*0.10+(Q94-5)*0.08+(I94/10)*0.25-(R94-5)*0.10,1)</x:f>
        <x:v>7.9</x:v>
      </x:c>
      <x:c r="T94" s="47" t="str">
        <x:f>IF(U94&lt;&gt;"Use Model",U94,IF(S94&gt;=8.5,"Priority",IF(S94&gt;=7.6,"Target",IF(S94&gt;=6.8,"Watch","Neutral"))))</x:f>
        <x:v>Target</x:v>
      </x:c>
      <x:c r="U94" s="50" t="str">
        <x:v>Target</x:v>
      </x:c>
      <x:c r="V94" s="51" t="str"/>
      <x:c r="W94" s="51" t="str">
        <x:v>Provides one-QB scoring leverage without sacrificing the early RB/WR foundation.</x:v>
      </x:c>
      <x:c r="X94" s="51" t="str">
        <x:v>The player can be useful without separating enough from readily available waiver-wire alternatives.</x:v>
      </x:c>
      <x:c r="Y94" s="51" t="str">
        <x:v>Use the Turn Board to select the highest remaining player in the same position/value tier.</x:v>
      </x:c>
      <x:c r="Z94" s="51" t="str">
        <x:v>Do not draft a second QB.</x:v>
      </x:c>
      <x:c r="AA94" s="51" t="n">
        <x:v>73</x:v>
      </x:c>
      <x:c r="AB94" s="51" t="n">
        <x:v>88</x:v>
      </x:c>
      <x:c r="AC94" s="51" t="n">
        <x:v>89</x:v>
      </x:c>
      <x:c r="AD94" s="51" t="str">
        <x:v>https://g.espncdn.com/s/ffldraftkit/26/NFL26_CS_PPR300.pdf?adddata=2026CS_PPR300</x:v>
      </x:c>
      <x:c r="AE94" s="51" t="str">
        <x:v>https://fantasyfootballcalculator.com/adp/ppr/8-team/all</x:v>
      </x:c>
      <x:c r="AF94" s="51" t="str">
        <x:v>https://www.rotowire.com/football/article/2026-fantasy-football-rankings-ppr-preseason-week-2-update-129449</x:v>
      </x:c>
      <x:c r="AG94" s="47" t="str">
        <x:f>IF(COUNTIFS('Live Draft'!$D$6:$D$133,8,'Live Draft'!$E$6:$E$133,A94)&gt;0,"My Team",IF(COUNTIF('Live Draft'!$E$6:$E$133,A94)&gt;0,"Other Team","Available"))</x:f>
        <x:v>Available</x:v>
      </x:c>
      <x:c r="AH94" s="52" t="n">
        <x:v>46261</x:v>
      </x:c>
    </x:row>
    <x:row r="95" ht="44" hidden="0" customHeight="1">
      <x:c r="A95" s="46" t="str">
        <x:v>Patrick Mahomes</x:v>
      </x:c>
      <x:c r="B95" s="47" t="str">
        <x:v>QB</x:v>
      </x:c>
      <x:c r="C95" s="47" t="str">
        <x:v>KC</x:v>
      </x:c>
      <x:c r="D95" s="48" t="n">
        <x:v>5</x:v>
      </x:c>
      <x:c r="E95" s="48" t="n">
        <x:v>94</x:v>
      </x:c>
      <x:c r="F95" s="48" t="n">
        <x:v>114</x:v>
      </x:c>
      <x:c r="G95" s="48" t="n">
        <x:v>104</x:v>
      </x:c>
      <x:c r="H95" s="48" t="n">
        <x:v>-20</x:v>
      </x:c>
      <x:c r="I95" s="48" t="n">
        <x:v>-10</x:v>
      </x:c>
      <x:c r="J95" s="48" t="n">
        <x:v>14</x:v>
      </x:c>
      <x:c r="K95" s="48" t="n">
        <x:v>105</x:v>
      </x:c>
      <x:c r="L95" s="48" t="str">
        <x:v>Lottery</x:v>
      </x:c>
      <x:c r="M95" s="48" t="str">
        <x:v>One-QB value</x:v>
      </x:c>
      <x:c r="N95" s="48" t="n">
        <x:v>9</x:v>
      </x:c>
      <x:c r="O95" s="48" t="n">
        <x:v>8</x:v>
      </x:c>
      <x:c r="P95" s="48" t="n">
        <x:v>5</x:v>
      </x:c>
      <x:c r="Q95" s="48" t="n">
        <x:v>5</x:v>
      </x:c>
      <x:c r="R95" s="48" t="n">
        <x:v>3</x:v>
      </x:c>
      <x:c r="S95" s="49" t="n">
        <x:f>ROUND(N95*VLOOKUP(L95,'Assumptions'!$A$16:$C$19,2,FALSE)+O95*VLOOKUP(L95,'Assumptions'!$A$16:$C$19,3,FALSE)+(P95-5)*0.10+(Q95-5)*0.08+(I95/10)*0.25-(R95-5)*0.10,1)</x:f>
        <x:v>8</x:v>
      </x:c>
      <x:c r="T95" s="47" t="str">
        <x:f>IF(U95&lt;&gt;"Use Model",U95,IF(S95&gt;=8.5,"Priority",IF(S95&gt;=7.6,"Target",IF(S95&gt;=6.8,"Watch","Neutral"))))</x:f>
        <x:v>Neutral</x:v>
      </x:c>
      <x:c r="U95" s="50" t="str">
        <x:v>Neutral</x:v>
      </x:c>
      <x:c r="V95" s="51" t="str"/>
      <x:c r="W95" s="51" t="str">
        <x:v>Fine only at the late market price; name value should not pull us away from FLEX depth.</x:v>
      </x:c>
      <x:c r="X95" s="51" t="str">
        <x:v>Passing excellence does not automatically create an elite fantasy edge without rushing or extreme touchdowns.</x:v>
      </x:c>
      <x:c r="Y95" s="51" t="str">
        <x:v>Dak Prescott; Caleb Williams; Trevor Lawrence</x:v>
      </x:c>
      <x:c r="Z95" s="51" t="str">
        <x:v>Do not draft a second QB.</x:v>
      </x:c>
      <x:c r="AA95" s="51" t="n">
        <x:v>104</x:v>
      </x:c>
      <x:c r="AB95" s="51" t="n">
        <x:v>105</x:v>
      </x:c>
      <x:c r="AC95" s="51" t="n">
        <x:v>120</x:v>
      </x:c>
      <x:c r="AD95" s="51" t="str">
        <x:v>https://g.espncdn.com/s/ffldraftkit/26/NFL26_CS_PPR300.pdf?adddata=2026CS_PPR300</x:v>
      </x:c>
      <x:c r="AE95" s="51" t="str">
        <x:v>https://fantasyfootballcalculator.com/adp/ppr/8-team/all</x:v>
      </x:c>
      <x:c r="AF95" s="51" t="str">
        <x:v>https://www.rotowire.com/football/article/2026-fantasy-football-rankings-ppr-preseason-week-2-update-129449</x:v>
      </x:c>
      <x:c r="AG95" s="47" t="str">
        <x:f>IF(COUNTIFS('Live Draft'!$D$6:$D$133,8,'Live Draft'!$E$6:$E$133,A95)&gt;0,"My Team",IF(COUNTIF('Live Draft'!$E$6:$E$133,A95)&gt;0,"Other Team","Available"))</x:f>
        <x:v>Available</x:v>
      </x:c>
      <x:c r="AH95" s="52" t="n">
        <x:v>46261</x:v>
      </x:c>
    </x:row>
    <x:row r="96" ht="44" hidden="0" customHeight="1">
      <x:c r="A96" s="46" t="str">
        <x:v>Jaylen Warren</x:v>
      </x:c>
      <x:c r="B96" s="47" t="str">
        <x:v>RB</x:v>
      </x:c>
      <x:c r="C96" s="47" t="str">
        <x:v>PIT</x:v>
      </x:c>
      <x:c r="D96" s="48" t="n">
        <x:v>9</x:v>
      </x:c>
      <x:c r="E96" s="48" t="n">
        <x:v>95</x:v>
      </x:c>
      <x:c r="F96" s="48" t="n">
        <x:v>71</x:v>
      </x:c>
      <x:c r="G96" s="48" t="n">
        <x:v>61</x:v>
      </x:c>
      <x:c r="H96" s="48" t="n">
        <x:v>24</x:v>
      </x:c>
      <x:c r="I96" s="48" t="n">
        <x:v>-10</x:v>
      </x:c>
      <x:c r="J96" s="48" t="n">
        <x:v>9</x:v>
      </x:c>
      <x:c r="K96" s="48" t="n">
        <x:v>72</x:v>
      </x:c>
      <x:c r="L96" s="48" t="str">
        <x:v>Upside</x:v>
      </x:c>
      <x:c r="M96" s="48" t="str">
        <x:v>Volume + contingency</x:v>
      </x:c>
      <x:c r="N96" s="48" t="n">
        <x:v>6</x:v>
      </x:c>
      <x:c r="O96" s="48" t="n">
        <x:v>7</x:v>
      </x:c>
      <x:c r="P96" s="48" t="n">
        <x:v>6</x:v>
      </x:c>
      <x:c r="Q96" s="48" t="n">
        <x:v>6</x:v>
      </x:c>
      <x:c r="R96" s="48" t="n">
        <x:v>3</x:v>
      </x:c>
      <x:c r="S96" s="49" t="n">
        <x:f>ROUND(N96*VLOOKUP(L96,'Assumptions'!$A$16:$C$19,2,FALSE)+O96*VLOOKUP(L96,'Assumptions'!$A$16:$C$19,3,FALSE)+(P96-5)*0.10+(Q96-5)*0.08+(I96/10)*0.25-(R96-5)*0.10,1)</x:f>
        <x:v>6.9</x:v>
      </x:c>
      <x:c r="T96" s="47" t="str">
        <x:f>IF(U96&lt;&gt;"Use Model",U96,IF(S96&gt;=8.5,"Priority",IF(S96&gt;=7.6,"Target",IF(S96&gt;=6.8,"Watch","Neutral"))))</x:f>
        <x:v>Target</x:v>
      </x:c>
      <x:c r="U96" s="50" t="str">
        <x:v>Target</x:v>
      </x:c>
      <x:c r="V96" s="51" t="str"/>
      <x:c r="W96" s="51" t="str">
        <x:v>Fits the two-FLEX build by adding either bankable touches or contingent workload at the correct price.</x:v>
      </x:c>
      <x:c r="X96" s="51" t="str">
        <x:v>The player can be useful without separating enough from readily available waiver-wire alternatives.</x:v>
      </x:c>
      <x:c r="Y96" s="51" t="str">
        <x:v>Use the Turn Board to select the highest remaining player in the same position/value tier.</x:v>
      </x:c>
      <x:c r="Z96" s="51" t="str">
        <x:v>Pair with a WR at the same turn unless he is a clear faller.</x:v>
      </x:c>
      <x:c r="AA96" s="51" t="n">
        <x:v>57</x:v>
      </x:c>
      <x:c r="AB96" s="51" t="n">
        <x:v>72</x:v>
      </x:c>
      <x:c r="AC96" s="51" t="n">
        <x:v>73</x:v>
      </x:c>
      <x:c r="AD96" s="51" t="str">
        <x:v>https://g.espncdn.com/s/ffldraftkit/26/NFL26_CS_PPR300.pdf?adddata=2026CS_PPR300</x:v>
      </x:c>
      <x:c r="AE96" s="51" t="str">
        <x:v>https://fantasyfootballcalculator.com/adp/ppr/8-team/all</x:v>
      </x:c>
      <x:c r="AF96" s="51" t="str">
        <x:v>https://www.rotowire.com/football/article/2026-fantasy-football-rankings-ppr-preseason-week-2-update-129449</x:v>
      </x:c>
      <x:c r="AG96" s="47" t="str">
        <x:f>IF(COUNTIFS('Live Draft'!$D$6:$D$133,8,'Live Draft'!$E$6:$E$133,A96)&gt;0,"My Team",IF(COUNTIF('Live Draft'!$E$6:$E$133,A96)&gt;0,"Other Team","Available"))</x:f>
        <x:v>Available</x:v>
      </x:c>
      <x:c r="AH96" s="52" t="n">
        <x:v>46261</x:v>
      </x:c>
    </x:row>
    <x:row r="97" ht="44" hidden="0" customHeight="1">
      <x:c r="A97" s="46" t="str">
        <x:v>Rico Dowdle</x:v>
      </x:c>
      <x:c r="B97" s="47" t="str">
        <x:v>RB</x:v>
      </x:c>
      <x:c r="C97" s="47" t="str">
        <x:v>PIT</x:v>
      </x:c>
      <x:c r="D97" s="48" t="n">
        <x:v>9</x:v>
      </x:c>
      <x:c r="E97" s="48" t="n">
        <x:v>96</x:v>
      </x:c>
      <x:c r="F97" s="48" t="n">
        <x:v>82</x:v>
      </x:c>
      <x:c r="G97" s="48" t="n">
        <x:v>75</x:v>
      </x:c>
      <x:c r="H97" s="48" t="n">
        <x:v>14</x:v>
      </x:c>
      <x:c r="I97" s="48" t="n">
        <x:v>-7</x:v>
      </x:c>
      <x:c r="J97" s="48" t="n">
        <x:v>10</x:v>
      </x:c>
      <x:c r="K97" s="48" t="n">
        <x:v>73</x:v>
      </x:c>
      <x:c r="L97" s="48" t="str">
        <x:v>Upside</x:v>
      </x:c>
      <x:c r="M97" s="48" t="str">
        <x:v>Volume + contingency</x:v>
      </x:c>
      <x:c r="N97" s="48" t="n">
        <x:v>6</x:v>
      </x:c>
      <x:c r="O97" s="48" t="n">
        <x:v>7</x:v>
      </x:c>
      <x:c r="P97" s="48" t="n">
        <x:v>6</x:v>
      </x:c>
      <x:c r="Q97" s="48" t="n">
        <x:v>6</x:v>
      </x:c>
      <x:c r="R97" s="48" t="n">
        <x:v>3</x:v>
      </x:c>
      <x:c r="S97" s="49" t="n">
        <x:f>ROUND(N97*VLOOKUP(L97,'Assumptions'!$A$16:$C$19,2,FALSE)+O97*VLOOKUP(L97,'Assumptions'!$A$16:$C$19,3,FALSE)+(P97-5)*0.10+(Q97-5)*0.08+(I97/10)*0.25-(R97-5)*0.10,1)</x:f>
        <x:v>7</x:v>
      </x:c>
      <x:c r="T97" s="47" t="str">
        <x:f>IF(U97&lt;&gt;"Use Model",U97,IF(S97&gt;=8.5,"Priority",IF(S97&gt;=7.6,"Target",IF(S97&gt;=6.8,"Watch","Neutral"))))</x:f>
        <x:v>Target</x:v>
      </x:c>
      <x:c r="U97" s="50" t="str">
        <x:v>Target</x:v>
      </x:c>
      <x:c r="V97" s="51" t="str"/>
      <x:c r="W97" s="51" t="str">
        <x:v>Fits the two-FLEX build by adding either bankable touches or contingent workload at the correct price.</x:v>
      </x:c>
      <x:c r="X97" s="51" t="str">
        <x:v>The player can be useful without separating enough from readily available waiver-wire alternatives.</x:v>
      </x:c>
      <x:c r="Y97" s="51" t="str">
        <x:v>Use the Turn Board to select the highest remaining player in the same position/value tier.</x:v>
      </x:c>
      <x:c r="Z97" s="51" t="str">
        <x:v>Pair with a WR at the same turn unless he is a clear faller.</x:v>
      </x:c>
      <x:c r="AA97" s="51" t="n">
        <x:v>72</x:v>
      </x:c>
      <x:c r="AB97" s="51" t="n">
        <x:v>73</x:v>
      </x:c>
      <x:c r="AC97" s="51" t="n">
        <x:v>88</x:v>
      </x:c>
      <x:c r="AD97" s="51" t="str">
        <x:v>https://g.espncdn.com/s/ffldraftkit/26/NFL26_CS_PPR300.pdf?adddata=2026CS_PPR300</x:v>
      </x:c>
      <x:c r="AE97" s="51" t="str">
        <x:v>https://fantasyfootballcalculator.com/adp/ppr/8-team/all</x:v>
      </x:c>
      <x:c r="AF97" s="51" t="str">
        <x:v>https://www.rotowire.com/football/article/2026-fantasy-football-rankings-ppr-preseason-week-2-update-129449</x:v>
      </x:c>
      <x:c r="AG97" s="47" t="str">
        <x:f>IF(COUNTIFS('Live Draft'!$D$6:$D$133,8,'Live Draft'!$E$6:$E$133,A97)&gt;0,"My Team",IF(COUNTIF('Live Draft'!$E$6:$E$133,A97)&gt;0,"Other Team","Available"))</x:f>
        <x:v>Available</x:v>
      </x:c>
      <x:c r="AH97" s="52" t="n">
        <x:v>46261</x:v>
      </x:c>
    </x:row>
    <x:row r="98" ht="44" hidden="0" customHeight="1">
      <x:c r="A98" s="46" t="str">
        <x:v>Tony Pollard</x:v>
      </x:c>
      <x:c r="B98" s="47" t="str">
        <x:v>RB</x:v>
      </x:c>
      <x:c r="C98" s="47" t="str">
        <x:v>TEN</x:v>
      </x:c>
      <x:c r="D98" s="48" t="n">
        <x:v>9</x:v>
      </x:c>
      <x:c r="E98" s="48" t="n">
        <x:v>97</x:v>
      </x:c>
      <x:c r="F98" s="48" t="n">
        <x:v>79</x:v>
      </x:c>
      <x:c r="G98" s="48" t="n">
        <x:v>71</x:v>
      </x:c>
      <x:c r="H98" s="48" t="n">
        <x:v>18</x:v>
      </x:c>
      <x:c r="I98" s="48" t="n">
        <x:v>-8</x:v>
      </x:c>
      <x:c r="J98" s="48" t="n">
        <x:v>10</x:v>
      </x:c>
      <x:c r="K98" s="48" t="n">
        <x:v>73</x:v>
      </x:c>
      <x:c r="L98" s="48" t="str">
        <x:v>Upside</x:v>
      </x:c>
      <x:c r="M98" s="48" t="str">
        <x:v>Volume + contingency</x:v>
      </x:c>
      <x:c r="N98" s="48" t="n">
        <x:v>6</x:v>
      </x:c>
      <x:c r="O98" s="48" t="n">
        <x:v>7</x:v>
      </x:c>
      <x:c r="P98" s="48" t="n">
        <x:v>6</x:v>
      </x:c>
      <x:c r="Q98" s="48" t="n">
        <x:v>6</x:v>
      </x:c>
      <x:c r="R98" s="48" t="n">
        <x:v>3</x:v>
      </x:c>
      <x:c r="S98" s="49" t="n">
        <x:f>ROUND(N98*VLOOKUP(L98,'Assumptions'!$A$16:$C$19,2,FALSE)+O98*VLOOKUP(L98,'Assumptions'!$A$16:$C$19,3,FALSE)+(P98-5)*0.10+(Q98-5)*0.08+(I98/10)*0.25-(R98-5)*0.10,1)</x:f>
        <x:v>6.9</x:v>
      </x:c>
      <x:c r="T98" s="47" t="str">
        <x:f>IF(U98&lt;&gt;"Use Model",U98,IF(S98&gt;=8.5,"Priority",IF(S98&gt;=7.6,"Target",IF(S98&gt;=6.8,"Watch","Neutral"))))</x:f>
        <x:v>Target</x:v>
      </x:c>
      <x:c r="U98" s="50" t="str">
        <x:v>Target</x:v>
      </x:c>
      <x:c r="V98" s="51" t="str"/>
      <x:c r="W98" s="51" t="str">
        <x:v>Fits the two-FLEX build by adding either bankable touches or contingent workload at the correct price.</x:v>
      </x:c>
      <x:c r="X98" s="51" t="str">
        <x:v>The player can be useful without separating enough from readily available waiver-wire alternatives.</x:v>
      </x:c>
      <x:c r="Y98" s="51" t="str">
        <x:v>Use the Turn Board to select the highest remaining player in the same position/value tier.</x:v>
      </x:c>
      <x:c r="Z98" s="51" t="str">
        <x:v>Pair with a WR at the same turn unless he is a clear faller.</x:v>
      </x:c>
      <x:c r="AA98" s="51" t="n">
        <x:v>72</x:v>
      </x:c>
      <x:c r="AB98" s="51" t="n">
        <x:v>73</x:v>
      </x:c>
      <x:c r="AC98" s="51" t="n">
        <x:v>88</x:v>
      </x:c>
      <x:c r="AD98" s="51" t="str">
        <x:v>https://g.espncdn.com/s/ffldraftkit/26/NFL26_CS_PPR300.pdf?adddata=2026CS_PPR300</x:v>
      </x:c>
      <x:c r="AE98" s="51" t="str">
        <x:v>https://fantasyfootballcalculator.com/adp/ppr/8-team/all</x:v>
      </x:c>
      <x:c r="AF98" s="51" t="str">
        <x:v>https://www.rotowire.com/football/article/2026-fantasy-football-rankings-ppr-preseason-week-2-update-129449</x:v>
      </x:c>
      <x:c r="AG98" s="47" t="str">
        <x:f>IF(COUNTIFS('Live Draft'!$D$6:$D$133,8,'Live Draft'!$E$6:$E$133,A98)&gt;0,"My Team",IF(COUNTIF('Live Draft'!$E$6:$E$133,A98)&gt;0,"Other Team","Available"))</x:f>
        <x:v>Available</x:v>
      </x:c>
      <x:c r="AH98" s="52" t="n">
        <x:v>46261</x:v>
      </x:c>
    </x:row>
    <x:row r="99" ht="44" hidden="0" customHeight="1">
      <x:c r="A99" s="46" t="str">
        <x:v>Jonathon Brooks</x:v>
      </x:c>
      <x:c r="B99" s="47" t="str">
        <x:v>RB</x:v>
      </x:c>
      <x:c r="C99" s="47" t="str">
        <x:v>CAR</x:v>
      </x:c>
      <x:c r="D99" s="48" t="n">
        <x:v>5</x:v>
      </x:c>
      <x:c r="E99" s="48" t="n">
        <x:v>99</x:v>
      </x:c>
      <x:c r="F99" s="48" t="n">
        <x:v>70</x:v>
      </x:c>
      <x:c r="G99" s="48" t="n">
        <x:v>98</x:v>
      </x:c>
      <x:c r="H99" s="48" t="n">
        <x:v>29</x:v>
      </x:c>
      <x:c r="I99" s="48" t="n">
        <x:v>28</x:v>
      </x:c>
      <x:c r="J99" s="48" t="n">
        <x:v>13</x:v>
      </x:c>
      <x:c r="K99" s="48" t="n">
        <x:v>104</x:v>
      </x:c>
      <x:c r="L99" s="48" t="str">
        <x:v>Lottery</x:v>
      </x:c>
      <x:c r="M99" s="48" t="str">
        <x:v>Recovery upside</x:v>
      </x:c>
      <x:c r="N99" s="48" t="n">
        <x:v>5</x:v>
      </x:c>
      <x:c r="O99" s="48" t="n">
        <x:v>9</x:v>
      </x:c>
      <x:c r="P99" s="48" t="n">
        <x:v>6</x:v>
      </x:c>
      <x:c r="Q99" s="48" t="n">
        <x:v>6</x:v>
      </x:c>
      <x:c r="R99" s="48" t="n">
        <x:v>6</x:v>
      </x:c>
      <x:c r="S99" s="49" t="n">
        <x:f>ROUND(N99*VLOOKUP(L99,'Assumptions'!$A$16:$C$19,2,FALSE)+O99*VLOOKUP(L99,'Assumptions'!$A$16:$C$19,3,FALSE)+(P99-5)*0.10+(Q99-5)*0.08+(I99/10)*0.25-(R99-5)*0.10,1)</x:f>
        <x:v>9.4</x:v>
      </x:c>
      <x:c r="T99" s="47" t="str">
        <x:f>IF(U99&lt;&gt;"Use Model",U99,IF(S99&gt;=8.5,"Priority",IF(S99&gt;=7.6,"Target",IF(S99&gt;=6.8,"Watch","Neutral"))))</x:f>
        <x:v>Target</x:v>
      </x:c>
      <x:c r="U99" s="50" t="str">
        <x:v>Target</x:v>
      </x:c>
      <x:c r="V99" s="51" t="str"/>
      <x:c r="W99" s="51" t="str">
        <x:v>At a Round 12/13 price, we can buy talent and future role without needing immediate September production.</x:v>
      </x:c>
      <x:c r="X99" s="51" t="str">
        <x:v>Recovery or committee usage may delay usefulness beyond our patience window.</x:v>
      </x:c>
      <x:c r="Y99" s="51" t="str">
        <x:v>J.K. Dobbins; Aaron Jones Sr.; Blake Corum</x:v>
      </x:c>
      <x:c r="Z99" s="51" t="str">
        <x:v>Pair with a WR at the same turn unless he is a clear faller.</x:v>
      </x:c>
      <x:c r="AA99" s="51" t="n">
        <x:v>89</x:v>
      </x:c>
      <x:c r="AB99" s="51" t="n">
        <x:v>104</x:v>
      </x:c>
      <x:c r="AC99" s="51" t="n">
        <x:v>105</x:v>
      </x:c>
      <x:c r="AD99" s="51" t="str">
        <x:v>https://g.espncdn.com/s/ffldraftkit/26/NFL26_CS_PPR300.pdf?adddata=2026CS_PPR300</x:v>
      </x:c>
      <x:c r="AE99" s="51" t="str">
        <x:v>https://fantasyfootballcalculator.com/adp/ppr/8-team/all</x:v>
      </x:c>
      <x:c r="AF99" s="51" t="str">
        <x:v>https://www.rotowire.com/football/article/2026-fantasy-football-rankings-ppr-preseason-week-2-update-129449</x:v>
      </x:c>
      <x:c r="AG99" s="47" t="str">
        <x:f>IF(COUNTIFS('Live Draft'!$D$6:$D$133,8,'Live Draft'!$E$6:$E$133,A99)&gt;0,"My Team",IF(COUNTIF('Live Draft'!$E$6:$E$133,A99)&gt;0,"Other Team","Available"))</x:f>
        <x:v>Available</x:v>
      </x:c>
      <x:c r="AH99" s="52" t="n">
        <x:v>46261</x:v>
      </x:c>
    </x:row>
    <x:row r="100" ht="44" hidden="0" customHeight="1">
      <x:c r="A100" s="46" t="str">
        <x:v>Tucker Kraft</x:v>
      </x:c>
      <x:c r="B100" s="47" t="str">
        <x:v>TE</x:v>
      </x:c>
      <x:c r="C100" s="47" t="str">
        <x:v>GB</x:v>
      </x:c>
      <x:c r="D100" s="48" t="n">
        <x:v>11</x:v>
      </x:c>
      <x:c r="E100" s="48" t="n">
        <x:v>101</x:v>
      </x:c>
      <x:c r="F100" s="48" t="n">
        <x:v>68</x:v>
      </x:c>
      <x:c r="G100" s="48" t="n">
        <x:v>102</x:v>
      </x:c>
      <x:c r="H100" s="48" t="n">
        <x:v>33</x:v>
      </x:c>
      <x:c r="I100" s="48" t="n">
        <x:v>34</x:v>
      </x:c>
      <x:c r="J100" s="48" t="n">
        <x:v>10</x:v>
      </x:c>
      <x:c r="K100" s="48" t="n">
        <x:v>73</x:v>
      </x:c>
      <x:c r="L100" s="48" t="str">
        <x:v>Upside</x:v>
      </x:c>
      <x:c r="M100" s="48" t="str">
        <x:v>Positional leverage</x:v>
      </x:c>
      <x:c r="N100" s="48" t="n">
        <x:v>6</x:v>
      </x:c>
      <x:c r="O100" s="48" t="n">
        <x:v>7</x:v>
      </x:c>
      <x:c r="P100" s="48" t="n">
        <x:v>6</x:v>
      </x:c>
      <x:c r="Q100" s="48" t="n">
        <x:v>6</x:v>
      </x:c>
      <x:c r="R100" s="48" t="n">
        <x:v>9</x:v>
      </x:c>
      <x:c r="S100" s="49" t="n">
        <x:f>ROUND(N100*VLOOKUP(L100,'Assumptions'!$A$16:$C$19,2,FALSE)+O100*VLOOKUP(L100,'Assumptions'!$A$16:$C$19,3,FALSE)+(P100-5)*0.10+(Q100-5)*0.08+(I100/10)*0.25-(R100-5)*0.10,1)</x:f>
        <x:v>7.4</x:v>
      </x:c>
      <x:c r="T100" s="47" t="str">
        <x:f>IF(U100&lt;&gt;"Use Model",U100,IF(S100&gt;=8.5,"Priority",IF(S100&gt;=7.6,"Target",IF(S100&gt;=6.8,"Watch","Neutral"))))</x:f>
        <x:v>Avoid</x:v>
      </x:c>
      <x:c r="U100" s="50" t="str">
        <x:v>Avoid</x:v>
      </x:c>
      <x:c r="V100" s="51" t="str">
        <x:v>Recovering from ACL surgery; Green Bay signed Jonnu Smith on Aug. 27.</x:v>
      </x:c>
      <x:c r="W100" s="51" t="str">
        <x:v>The old ESPN discount is no longer enough to compensate for recovery and added competition.</x:v>
      </x:c>
      <x:c r="X100" s="51" t="str">
        <x:v>Limited early-season snaps plus a deeper TE room can make him unusable in a shallow league.</x:v>
      </x:c>
      <x:c r="Y100" s="51" t="str">
        <x:v>Sam LaPorta; George Kittle; Harold Fannin Jr.</x:v>
      </x:c>
      <x:c r="Z100" s="51" t="str">
        <x:v>Do not draft a second TE.</x:v>
      </x:c>
      <x:c r="AA100" s="51" t="n">
        <x:v>72</x:v>
      </x:c>
      <x:c r="AB100" s="51" t="n">
        <x:v>73</x:v>
      </x:c>
      <x:c r="AC100" s="51" t="n">
        <x:v>88</x:v>
      </x:c>
      <x:c r="AD100" s="51" t="str">
        <x:v>https://g.espncdn.com/s/ffldraftkit/26/NFL26_CS_PPR300.pdf?adddata=2026CS_PPR300</x:v>
      </x:c>
      <x:c r="AE100" s="51" t="str">
        <x:v>https://fantasyfootballcalculator.com/adp/ppr/8-team/all</x:v>
      </x:c>
      <x:c r="AF100" s="51" t="str">
        <x:v>https://www.reuters.com/sports/reports-packers-sign-veteran-te-jonnu-smith--flm-2026-08-27/</x:v>
      </x:c>
      <x:c r="AG100" s="47" t="str">
        <x:f>IF(COUNTIFS('Live Draft'!$D$6:$D$133,8,'Live Draft'!$E$6:$E$133,A100)&gt;0,"My Team",IF(COUNTIF('Live Draft'!$E$6:$E$133,A100)&gt;0,"Other Team","Available"))</x:f>
        <x:v>Available</x:v>
      </x:c>
      <x:c r="AH100" s="52" t="n">
        <x:v>46261</x:v>
      </x:c>
    </x:row>
    <x:row r="101" ht="44" hidden="0" customHeight="1">
      <x:c r="A101" s="46" t="str">
        <x:v>George Kittle</x:v>
      </x:c>
      <x:c r="B101" s="47" t="str">
        <x:v>TE</x:v>
      </x:c>
      <x:c r="C101" s="47" t="str">
        <x:v>SF</x:v>
      </x:c>
      <x:c r="D101" s="48" t="n">
        <x:v>8</x:v>
      </x:c>
      <x:c r="E101" s="48" t="n">
        <x:v>102</x:v>
      </x:c>
      <x:c r="F101" s="48" t="n">
        <x:v>122</x:v>
      </x:c>
      <x:c r="G101" s="48" t="n">
        <x:v>114</x:v>
      </x:c>
      <x:c r="H101" s="48" t="n">
        <x:v>-20</x:v>
      </x:c>
      <x:c r="I101" s="48" t="n">
        <x:v>-8</x:v>
      </x:c>
      <x:c r="J101" s="48" t="n">
        <x:v>15</x:v>
      </x:c>
      <x:c r="K101" s="48" t="n">
        <x:v>120</x:v>
      </x:c>
      <x:c r="L101" s="48" t="str">
        <x:v>Lottery</x:v>
      </x:c>
      <x:c r="M101" s="48" t="str">
        <x:v>Positional leverage</x:v>
      </x:c>
      <x:c r="N101" s="48" t="n">
        <x:v>5</x:v>
      </x:c>
      <x:c r="O101" s="48" t="n">
        <x:v>6</x:v>
      </x:c>
      <x:c r="P101" s="48" t="n">
        <x:v>5</x:v>
      </x:c>
      <x:c r="Q101" s="48" t="n">
        <x:v>5</x:v>
      </x:c>
      <x:c r="R101" s="48" t="n">
        <x:v>3</x:v>
      </x:c>
      <x:c r="S101" s="49" t="n">
        <x:f>ROUND(N101*VLOOKUP(L101,'Assumptions'!$A$16:$C$19,2,FALSE)+O101*VLOOKUP(L101,'Assumptions'!$A$16:$C$19,3,FALSE)+(P101-5)*0.10+(Q101-5)*0.08+(I101/10)*0.25-(R101-5)*0.10,1)</x:f>
        <x:v>5.9</x:v>
      </x:c>
      <x:c r="T101" s="47" t="str">
        <x:f>IF(U101&lt;&gt;"Use Model",U101,IF(S101&gt;=8.5,"Priority",IF(S101&gt;=7.6,"Target",IF(S101&gt;=6.8,"Watch","Neutral"))))</x:f>
        <x:v>Fade</x:v>
      </x:c>
      <x:c r="U101" s="50" t="str">
        <x:v>Fade</x:v>
      </x:c>
      <x:c r="V101" s="51" t="str"/>
      <x:c r="W101" s="51" t="str">
        <x:v>Can create weekly positional leverage if selected at or below the recommended turn.</x:v>
      </x:c>
      <x:c r="X101" s="51" t="str">
        <x:v>The player can be useful without separating enough from readily available waiver-wire alternatives.</x:v>
      </x:c>
      <x:c r="Y101" s="51" t="str">
        <x:v>Use the Turn Board to select the highest remaining player in the same position/value tier.</x:v>
      </x:c>
      <x:c r="Z101" s="51" t="str">
        <x:v>Do not draft a second TE.</x:v>
      </x:c>
      <x:c r="AA101" s="51" t="n">
        <x:v>105</x:v>
      </x:c>
      <x:c r="AB101" s="51" t="n">
        <x:v>120</x:v>
      </x:c>
      <x:c r="AC101" s="51" t="n">
        <x:v>121</x:v>
      </x:c>
      <x:c r="AD101" s="51" t="str">
        <x:v>https://g.espncdn.com/s/ffldraftkit/26/NFL26_CS_PPR300.pdf?adddata=2026CS_PPR300</x:v>
      </x:c>
      <x:c r="AE101" s="51" t="str">
        <x:v>https://fantasyfootballcalculator.com/adp/ppr/8-team/all</x:v>
      </x:c>
      <x:c r="AF101" s="51" t="str">
        <x:v>https://www.rotowire.com/football/article/2026-fantasy-football-rankings-ppr-preseason-week-2-update-129449</x:v>
      </x:c>
      <x:c r="AG101" s="47" t="str">
        <x:f>IF(COUNTIFS('Live Draft'!$D$6:$D$133,8,'Live Draft'!$E$6:$E$133,A101)&gt;0,"My Team",IF(COUNTIF('Live Draft'!$E$6:$E$133,A101)&gt;0,"Other Team","Available"))</x:f>
        <x:v>Available</x:v>
      </x:c>
      <x:c r="AH101" s="52" t="n">
        <x:v>46261</x:v>
      </x:c>
    </x:row>
    <x:row r="102" ht="44" hidden="0" customHeight="1">
      <x:c r="A102" s="46" t="str">
        <x:v>Travis Kelce</x:v>
      </x:c>
      <x:c r="B102" s="47" t="str">
        <x:v>TE</x:v>
      </x:c>
      <x:c r="C102" s="47" t="str">
        <x:v>KC</x:v>
      </x:c>
      <x:c r="D102" s="48" t="n">
        <x:v>5</x:v>
      </x:c>
      <x:c r="E102" s="48" t="n">
        <x:v>104</x:v>
      </x:c>
      <x:c r="F102" s="48" t="n">
        <x:v>119</x:v>
      </x:c>
      <x:c r="G102" s="48" t="n">
        <x:v>106</x:v>
      </x:c>
      <x:c r="H102" s="48" t="n">
        <x:v>-15</x:v>
      </x:c>
      <x:c r="I102" s="48" t="n">
        <x:v>-13</x:v>
      </x:c>
      <x:c r="J102" s="48" t="n">
        <x:v>15</x:v>
      </x:c>
      <x:c r="K102" s="48" t="n">
        <x:v>120</x:v>
      </x:c>
      <x:c r="L102" s="48" t="str">
        <x:v>Lottery</x:v>
      </x:c>
      <x:c r="M102" s="48" t="str">
        <x:v>Positional leverage</x:v>
      </x:c>
      <x:c r="N102" s="48" t="n">
        <x:v>5</x:v>
      </x:c>
      <x:c r="O102" s="48" t="n">
        <x:v>6</x:v>
      </x:c>
      <x:c r="P102" s="48" t="n">
        <x:v>5</x:v>
      </x:c>
      <x:c r="Q102" s="48" t="n">
        <x:v>5</x:v>
      </x:c>
      <x:c r="R102" s="48" t="n">
        <x:v>3</x:v>
      </x:c>
      <x:c r="S102" s="49" t="n">
        <x:f>ROUND(N102*VLOOKUP(L102,'Assumptions'!$A$16:$C$19,2,FALSE)+O102*VLOOKUP(L102,'Assumptions'!$A$16:$C$19,3,FALSE)+(P102-5)*0.10+(Q102-5)*0.08+(I102/10)*0.25-(R102-5)*0.10,1)</x:f>
        <x:v>5.8</x:v>
      </x:c>
      <x:c r="T102" s="47" t="str">
        <x:f>IF(U102&lt;&gt;"Use Model",U102,IF(S102&gt;=8.5,"Priority",IF(S102&gt;=7.6,"Target",IF(S102&gt;=6.8,"Watch","Neutral"))))</x:f>
        <x:v>Fade</x:v>
      </x:c>
      <x:c r="U102" s="50" t="str">
        <x:v>Fade</x:v>
      </x:c>
      <x:c r="V102" s="51" t="str"/>
      <x:c r="W102" s="51" t="str">
        <x:v>Can create weekly positional leverage if selected at or below the recommended turn.</x:v>
      </x:c>
      <x:c r="X102" s="51" t="str">
        <x:v>The player can be useful without separating enough from readily available waiver-wire alternatives.</x:v>
      </x:c>
      <x:c r="Y102" s="51" t="str">
        <x:v>Use the Turn Board to select the highest remaining player in the same position/value tier.</x:v>
      </x:c>
      <x:c r="Z102" s="51" t="str">
        <x:v>Do not draft a second TE.</x:v>
      </x:c>
      <x:c r="AA102" s="51" t="n">
        <x:v>105</x:v>
      </x:c>
      <x:c r="AB102" s="51" t="n">
        <x:v>120</x:v>
      </x:c>
      <x:c r="AC102" s="51" t="n">
        <x:v>121</x:v>
      </x:c>
      <x:c r="AD102" s="51" t="str">
        <x:v>https://g.espncdn.com/s/ffldraftkit/26/NFL26_CS_PPR300.pdf?adddata=2026CS_PPR300</x:v>
      </x:c>
      <x:c r="AE102" s="51" t="str">
        <x:v>https://fantasyfootballcalculator.com/adp/ppr/8-team/all</x:v>
      </x:c>
      <x:c r="AF102" s="51" t="str">
        <x:v>https://www.rotowire.com/football/article/2026-fantasy-football-rankings-ppr-preseason-week-2-update-129449</x:v>
      </x:c>
      <x:c r="AG102" s="47" t="str">
        <x:f>IF(COUNTIFS('Live Draft'!$D$6:$D$133,8,'Live Draft'!$E$6:$E$133,A102)&gt;0,"My Team",IF(COUNTIF('Live Draft'!$E$6:$E$133,A102)&gt;0,"Other Team","Available"))</x:f>
        <x:v>Available</x:v>
      </x:c>
      <x:c r="AH102" s="52" t="n">
        <x:v>46261</x:v>
      </x:c>
    </x:row>
    <x:row r="103" ht="44" hidden="0" customHeight="1">
      <x:c r="A103" s="46" t="str">
        <x:v>J.K. Dobbins</x:v>
      </x:c>
      <x:c r="B103" s="47" t="str">
        <x:v>RB</x:v>
      </x:c>
      <x:c r="C103" s="47" t="str">
        <x:v>DEN</x:v>
      </x:c>
      <x:c r="D103" s="48" t="n">
        <x:v>10</x:v>
      </x:c>
      <x:c r="E103" s="48" t="n">
        <x:v>105</x:v>
      </x:c>
      <x:c r="F103" s="48" t="n">
        <x:v>99</x:v>
      </x:c>
      <x:c r="G103" s="48" t="n">
        <x:v>91</x:v>
      </x:c>
      <x:c r="H103" s="48" t="n">
        <x:v>6</x:v>
      </x:c>
      <x:c r="I103" s="48" t="n">
        <x:v>-8</x:v>
      </x:c>
      <x:c r="J103" s="48" t="n">
        <x:v>12</x:v>
      </x:c>
      <x:c r="K103" s="48" t="n">
        <x:v>89</x:v>
      </x:c>
      <x:c r="L103" s="48" t="str">
        <x:v>Upside</x:v>
      </x:c>
      <x:c r="M103" s="48" t="str">
        <x:v>Discounted workload</x:v>
      </x:c>
      <x:c r="N103" s="48" t="n">
        <x:v>5</x:v>
      </x:c>
      <x:c r="O103" s="48" t="n">
        <x:v>8</x:v>
      </x:c>
      <x:c r="P103" s="48" t="n">
        <x:v>5</x:v>
      </x:c>
      <x:c r="Q103" s="48" t="n">
        <x:v>5</x:v>
      </x:c>
      <x:c r="R103" s="48" t="n">
        <x:v>6</x:v>
      </x:c>
      <x:c r="S103" s="49" t="n">
        <x:f>ROUND(N103*VLOOKUP(L103,'Assumptions'!$A$16:$C$19,2,FALSE)+O103*VLOOKUP(L103,'Assumptions'!$A$16:$C$19,3,FALSE)+(P103-5)*0.10+(Q103-5)*0.08+(I103/10)*0.25-(R103-5)*0.10,1)</x:f>
        <x:v>7</x:v>
      </x:c>
      <x:c r="T103" s="47" t="str">
        <x:f>IF(U103&lt;&gt;"Use Model",U103,IF(S103&gt;=8.5,"Priority",IF(S103&gt;=7.6,"Target",IF(S103&gt;=6.8,"Watch","Neutral"))))</x:f>
        <x:v>Target</x:v>
      </x:c>
      <x:c r="U103" s="50" t="str">
        <x:v>Target</x:v>
      </x:c>
      <x:c r="V103" s="51" t="str"/>
      <x:c r="W103" s="51" t="str">
        <x:v>Late enough that health risk is acceptable; expert and market both beat his ESPN rank.</x:v>
      </x:c>
      <x:c r="X103" s="51" t="str">
        <x:v>Durability and backfield competition can erase the apparent workload value.</x:v>
      </x:c>
      <x:c r="Y103" s="51" t="str">
        <x:v>Jonathon Brooks; Aaron Jones Sr.; Jordan Mason</x:v>
      </x:c>
      <x:c r="Z103" s="51" t="str">
        <x:v>Pair with a WR at the same turn unless he is a clear faller.</x:v>
      </x:c>
      <x:c r="AA103" s="51" t="n">
        <x:v>88</x:v>
      </x:c>
      <x:c r="AB103" s="51" t="n">
        <x:v>89</x:v>
      </x:c>
      <x:c r="AC103" s="51" t="n">
        <x:v>104</x:v>
      </x:c>
      <x:c r="AD103" s="51" t="str">
        <x:v>https://g.espncdn.com/s/ffldraftkit/26/NFL26_CS_PPR300.pdf?adddata=2026CS_PPR300</x:v>
      </x:c>
      <x:c r="AE103" s="51" t="str">
        <x:v>https://fantasyfootballcalculator.com/adp/ppr/8-team/all</x:v>
      </x:c>
      <x:c r="AF103" s="51" t="str">
        <x:v>https://www.rotowire.com/football/article/2026-fantasy-football-rankings-ppr-preseason-week-2-update-129449</x:v>
      </x:c>
      <x:c r="AG103" s="47" t="str">
        <x:f>IF(COUNTIFS('Live Draft'!$D$6:$D$133,8,'Live Draft'!$E$6:$E$133,A103)&gt;0,"My Team",IF(COUNTIF('Live Draft'!$E$6:$E$133,A103)&gt;0,"Other Team","Available"))</x:f>
        <x:v>Available</x:v>
      </x:c>
      <x:c r="AH103" s="52" t="n">
        <x:v>46261</x:v>
      </x:c>
    </x:row>
    <x:row r="104" ht="44" hidden="0" customHeight="1">
      <x:c r="A104" s="46" t="str">
        <x:v>Kyle Monangai</x:v>
      </x:c>
      <x:c r="B104" s="47" t="str">
        <x:v>RB</x:v>
      </x:c>
      <x:c r="C104" s="47" t="str">
        <x:v>CHI</x:v>
      </x:c>
      <x:c r="D104" s="48" t="n">
        <x:v>10</x:v>
      </x:c>
      <x:c r="E104" s="48" t="n">
        <x:v>106</x:v>
      </x:c>
      <x:c r="F104" s="48" t="n">
        <x:v>103</x:v>
      </x:c>
      <x:c r="G104" s="48" t="n">
        <x:v>116</x:v>
      </x:c>
      <x:c r="H104" s="48" t="n">
        <x:v>3</x:v>
      </x:c>
      <x:c r="I104" s="48" t="n">
        <x:v>13</x:v>
      </x:c>
      <x:c r="J104" s="48" t="n">
        <x:v>14</x:v>
      </x:c>
      <x:c r="K104" s="48" t="n">
        <x:v>105</x:v>
      </x:c>
      <x:c r="L104" s="48" t="str">
        <x:v>Lottery</x:v>
      </x:c>
      <x:c r="M104" s="48" t="str">
        <x:v>Volume + contingency</x:v>
      </x:c>
      <x:c r="N104" s="48" t="n">
        <x:v>5</x:v>
      </x:c>
      <x:c r="O104" s="48" t="n">
        <x:v>6</x:v>
      </x:c>
      <x:c r="P104" s="48" t="n">
        <x:v>5</x:v>
      </x:c>
      <x:c r="Q104" s="48" t="n">
        <x:v>5</x:v>
      </x:c>
      <x:c r="R104" s="48" t="n">
        <x:v>3</x:v>
      </x:c>
      <x:c r="S104" s="49" t="n">
        <x:f>ROUND(N104*VLOOKUP(L104,'Assumptions'!$A$16:$C$19,2,FALSE)+O104*VLOOKUP(L104,'Assumptions'!$A$16:$C$19,3,FALSE)+(P104-5)*0.10+(Q104-5)*0.08+(I104/10)*0.25-(R104-5)*0.10,1)</x:f>
        <x:v>6.4</x:v>
      </x:c>
      <x:c r="T104" s="47" t="str">
        <x:f>IF(U104&lt;&gt;"Use Model",U104,IF(S104&gt;=8.5,"Priority",IF(S104&gt;=7.6,"Target",IF(S104&gt;=6.8,"Watch","Neutral"))))</x:f>
        <x:v>Target</x:v>
      </x:c>
      <x:c r="U104" s="50" t="str">
        <x:v>Target</x:v>
      </x:c>
      <x:c r="V104" s="51" t="str"/>
      <x:c r="W104" s="51" t="str">
        <x:v>Fits the two-FLEX build by adding either bankable touches or contingent workload at the correct price.</x:v>
      </x:c>
      <x:c r="X104" s="51" t="str">
        <x:v>The player can be useful without separating enough from readily available waiver-wire alternatives.</x:v>
      </x:c>
      <x:c r="Y104" s="51" t="str">
        <x:v>Use the Turn Board to select the highest remaining player in the same position/value tier.</x:v>
      </x:c>
      <x:c r="Z104" s="51" t="str">
        <x:v>Pair with a WR at the same turn unless he is a clear faller.</x:v>
      </x:c>
      <x:c r="AA104" s="51" t="n">
        <x:v>104</x:v>
      </x:c>
      <x:c r="AB104" s="51" t="n">
        <x:v>105</x:v>
      </x:c>
      <x:c r="AC104" s="51" t="n">
        <x:v>120</x:v>
      </x:c>
      <x:c r="AD104" s="51" t="str">
        <x:v>https://g.espncdn.com/s/ffldraftkit/26/NFL26_CS_PPR300.pdf?adddata=2026CS_PPR300</x:v>
      </x:c>
      <x:c r="AE104" s="51" t="str">
        <x:v>https://fantasyfootballcalculator.com/adp/ppr/8-team/all</x:v>
      </x:c>
      <x:c r="AF104" s="51" t="str">
        <x:v>https://www.rotowire.com/football/article/2026-fantasy-football-rankings-ppr-preseason-week-2-update-129449</x:v>
      </x:c>
      <x:c r="AG104" s="47" t="str">
        <x:f>IF(COUNTIFS('Live Draft'!$D$6:$D$133,8,'Live Draft'!$E$6:$E$133,A104)&gt;0,"My Team",IF(COUNTIF('Live Draft'!$E$6:$E$133,A104)&gt;0,"Other Team","Available"))</x:f>
        <x:v>Available</x:v>
      </x:c>
      <x:c r="AH104" s="52" t="n">
        <x:v>46261</x:v>
      </x:c>
    </x:row>
    <x:row r="105" ht="44" hidden="0" customHeight="1">
      <x:c r="A105" s="46" t="str">
        <x:v>Mark Andrews</x:v>
      </x:c>
      <x:c r="B105" s="47" t="str">
        <x:v>TE</x:v>
      </x:c>
      <x:c r="C105" s="47" t="str">
        <x:v>BAL</x:v>
      </x:c>
      <x:c r="D105" s="48" t="n">
        <x:v>13</x:v>
      </x:c>
      <x:c r="E105" s="48" t="n">
        <x:v>110</x:v>
      </x:c>
      <x:c r="F105" s="48" t="n">
        <x:v>113</x:v>
      </x:c>
      <x:c r="G105" s="48" t="n">
        <x:v>130</x:v>
      </x:c>
      <x:c r="H105" s="48" t="n">
        <x:v>-3</x:v>
      </x:c>
      <x:c r="I105" s="48" t="n">
        <x:v>17</x:v>
      </x:c>
      <x:c r="J105" s="48" t="n">
        <x:v>15</x:v>
      </x:c>
      <x:c r="K105" s="48" t="n">
        <x:v>120</x:v>
      </x:c>
      <x:c r="L105" s="48" t="str">
        <x:v>Lottery</x:v>
      </x:c>
      <x:c r="M105" s="48" t="str">
        <x:v>Positional leverage</x:v>
      </x:c>
      <x:c r="N105" s="48" t="n">
        <x:v>5</x:v>
      </x:c>
      <x:c r="O105" s="48" t="n">
        <x:v>6</x:v>
      </x:c>
      <x:c r="P105" s="48" t="n">
        <x:v>5</x:v>
      </x:c>
      <x:c r="Q105" s="48" t="n">
        <x:v>5</x:v>
      </x:c>
      <x:c r="R105" s="48" t="n">
        <x:v>3</x:v>
      </x:c>
      <x:c r="S105" s="49" t="n">
        <x:f>ROUND(N105*VLOOKUP(L105,'Assumptions'!$A$16:$C$19,2,FALSE)+O105*VLOOKUP(L105,'Assumptions'!$A$16:$C$19,3,FALSE)+(P105-5)*0.10+(Q105-5)*0.08+(I105/10)*0.25-(R105-5)*0.10,1)</x:f>
        <x:v>6.5</x:v>
      </x:c>
      <x:c r="T105" s="47" t="str">
        <x:f>IF(U105&lt;&gt;"Use Model",U105,IF(S105&gt;=8.5,"Priority",IF(S105&gt;=7.6,"Target",IF(S105&gt;=6.8,"Watch","Neutral"))))</x:f>
        <x:v>Target</x:v>
      </x:c>
      <x:c r="U105" s="50" t="str">
        <x:v>Target</x:v>
      </x:c>
      <x:c r="V105" s="51" t="str"/>
      <x:c r="W105" s="51" t="str">
        <x:v>Can create weekly positional leverage if selected at or below the recommended turn.</x:v>
      </x:c>
      <x:c r="X105" s="51" t="str">
        <x:v>The player can be useful without separating enough from readily available waiver-wire alternatives.</x:v>
      </x:c>
      <x:c r="Y105" s="51" t="str">
        <x:v>Use the Turn Board to select the highest remaining player in the same position/value tier.</x:v>
      </x:c>
      <x:c r="Z105" s="51" t="str">
        <x:v>Do not draft a second TE.</x:v>
      </x:c>
      <x:c r="AA105" s="51" t="n">
        <x:v>105</x:v>
      </x:c>
      <x:c r="AB105" s="51" t="n">
        <x:v>120</x:v>
      </x:c>
      <x:c r="AC105" s="51" t="n">
        <x:v>121</x:v>
      </x:c>
      <x:c r="AD105" s="51" t="str">
        <x:v>https://g.espncdn.com/s/ffldraftkit/26/NFL26_CS_PPR300.pdf?adddata=2026CS_PPR300</x:v>
      </x:c>
      <x:c r="AE105" s="51" t="str">
        <x:v>https://fantasyfootballcalculator.com/adp/ppr/8-team/all</x:v>
      </x:c>
      <x:c r="AF105" s="51" t="str">
        <x:v>https://www.rotowire.com/football/article/2026-fantasy-football-rankings-ppr-preseason-week-2-update-129449</x:v>
      </x:c>
      <x:c r="AG105" s="47" t="str">
        <x:f>IF(COUNTIFS('Live Draft'!$D$6:$D$133,8,'Live Draft'!$E$6:$E$133,A105)&gt;0,"My Team",IF(COUNTIF('Live Draft'!$E$6:$E$133,A105)&gt;0,"Other Team","Available"))</x:f>
        <x:v>Available</x:v>
      </x:c>
      <x:c r="AH105" s="52" t="n">
        <x:v>46261</x:v>
      </x:c>
    </x:row>
    <x:row r="106" ht="44" hidden="0" customHeight="1">
      <x:c r="A106" s="46" t="str">
        <x:v>Josh Downs</x:v>
      </x:c>
      <x:c r="B106" s="47" t="str">
        <x:v>WR</x:v>
      </x:c>
      <x:c r="C106" s="47" t="str">
        <x:v>IND</x:v>
      </x:c>
      <x:c r="D106" s="48" t="n">
        <x:v>13</x:v>
      </x:c>
      <x:c r="E106" s="48" t="n">
        <x:v>113</x:v>
      </x:c>
      <x:c r="F106" s="48" t="n">
        <x:v>83</x:v>
      </x:c>
      <x:c r="G106" s="48" t="n">
        <x:v>90</x:v>
      </x:c>
      <x:c r="H106" s="48" t="n">
        <x:v>30</x:v>
      </x:c>
      <x:c r="I106" s="48" t="n">
        <x:v>7</x:v>
      </x:c>
      <x:c r="J106" s="48" t="n">
        <x:v>11</x:v>
      </x:c>
      <x:c r="K106" s="48" t="n">
        <x:v>88</x:v>
      </x:c>
      <x:c r="L106" s="48" t="str">
        <x:v>Upside</x:v>
      </x:c>
      <x:c r="M106" s="48" t="str">
        <x:v>Target + spike weeks</x:v>
      </x:c>
      <x:c r="N106" s="48" t="n">
        <x:v>7</x:v>
      </x:c>
      <x:c r="O106" s="48" t="n">
        <x:v>8</x:v>
      </x:c>
      <x:c r="P106" s="48" t="n">
        <x:v>6</x:v>
      </x:c>
      <x:c r="Q106" s="48" t="n">
        <x:v>6</x:v>
      </x:c>
      <x:c r="R106" s="48" t="n">
        <x:v>3</x:v>
      </x:c>
      <x:c r="S106" s="49" t="n">
        <x:f>ROUND(N106*VLOOKUP(L106,'Assumptions'!$A$16:$C$19,2,FALSE)+O106*VLOOKUP(L106,'Assumptions'!$A$16:$C$19,3,FALSE)+(P106-5)*0.10+(Q106-5)*0.08+(I106/10)*0.25-(R106-5)*0.10,1)</x:f>
        <x:v>8.3</x:v>
      </x:c>
      <x:c r="T106" s="47" t="str">
        <x:f>IF(U106&lt;&gt;"Use Model",U106,IF(S106&gt;=8.5,"Priority",IF(S106&gt;=7.6,"Target",IF(S106&gt;=6.8,"Watch","Neutral"))))</x:f>
        <x:v>Priority</x:v>
      </x:c>
      <x:c r="U106" s="50" t="str">
        <x:v>Priority</x:v>
      </x:c>
      <x:c r="V106" s="51" t="str"/>
      <x:c r="W106" s="51" t="str">
        <x:v>Expert model rank 83 versus ESPN 113 creates one of the best late PPR discounts.</x:v>
      </x:c>
      <x:c r="X106" s="51" t="str">
        <x:v>Touchdown ceiling and crowded target distribution may cap weekly explosions.</x:v>
      </x:c>
      <x:c r="Y106" s="51" t="str">
        <x:v>Khalil Shakir; Jayden Reed; Michael Wilson</x:v>
      </x:c>
      <x:c r="Z106" s="51" t="str">
        <x:v>Pair with RB scarcity or premium QB/TE leverage.</x:v>
      </x:c>
      <x:c r="AA106" s="51" t="n">
        <x:v>73</x:v>
      </x:c>
      <x:c r="AB106" s="51" t="n">
        <x:v>88</x:v>
      </x:c>
      <x:c r="AC106" s="51" t="n">
        <x:v>89</x:v>
      </x:c>
      <x:c r="AD106" s="51" t="str">
        <x:v>https://g.espncdn.com/s/ffldraftkit/26/NFL26_CS_PPR300.pdf?adddata=2026CS_PPR300</x:v>
      </x:c>
      <x:c r="AE106" s="51" t="str">
        <x:v>https://fantasyfootballcalculator.com/adp/ppr/8-team/all</x:v>
      </x:c>
      <x:c r="AF106" s="51" t="str">
        <x:v>https://www.rotowire.com/football/article/2026-fantasy-football-rankings-ppr-preseason-week-2-update-129449</x:v>
      </x:c>
      <x:c r="AG106" s="47" t="str">
        <x:f>IF(COUNTIFS('Live Draft'!$D$6:$D$133,8,'Live Draft'!$E$6:$E$133,A106)&gt;0,"My Team",IF(COUNTIF('Live Draft'!$E$6:$E$133,A106)&gt;0,"Other Team","Available"))</x:f>
        <x:v>Available</x:v>
      </x:c>
      <x:c r="AH106" s="52" t="n">
        <x:v>46261</x:v>
      </x:c>
    </x:row>
    <x:row r="107" ht="44" hidden="0" customHeight="1">
      <x:c r="A107" s="46" t="str">
        <x:v>Aaron Jones Sr.</x:v>
      </x:c>
      <x:c r="B107" s="47" t="str">
        <x:v>RB</x:v>
      </x:c>
      <x:c r="C107" s="47" t="str">
        <x:v>MIN</x:v>
      </x:c>
      <x:c r="D107" s="48" t="n">
        <x:v>6</x:v>
      </x:c>
      <x:c r="E107" s="48" t="n">
        <x:v>115</x:v>
      </x:c>
      <x:c r="F107" s="48" t="n">
        <x:v>115</x:v>
      </x:c>
      <x:c r="G107" s="48" t="n">
        <x:v>107</x:v>
      </x:c>
      <x:c r="H107" s="48" t="n">
        <x:v>0</x:v>
      </x:c>
      <x:c r="I107" s="48" t="n">
        <x:v>-8</x:v>
      </x:c>
      <x:c r="J107" s="48" t="n">
        <x:v>14</x:v>
      </x:c>
      <x:c r="K107" s="48" t="n">
        <x:v>105</x:v>
      </x:c>
      <x:c r="L107" s="48" t="str">
        <x:v>Lottery</x:v>
      </x:c>
      <x:c r="M107" s="48" t="str">
        <x:v>Volume + contingency</x:v>
      </x:c>
      <x:c r="N107" s="48" t="n">
        <x:v>5</x:v>
      </x:c>
      <x:c r="O107" s="48" t="n">
        <x:v>6</x:v>
      </x:c>
      <x:c r="P107" s="48" t="n">
        <x:v>5</x:v>
      </x:c>
      <x:c r="Q107" s="48" t="n">
        <x:v>5</x:v>
      </x:c>
      <x:c r="R107" s="48" t="n">
        <x:v>3</x:v>
      </x:c>
      <x:c r="S107" s="49" t="n">
        <x:f>ROUND(N107*VLOOKUP(L107,'Assumptions'!$A$16:$C$19,2,FALSE)+O107*VLOOKUP(L107,'Assumptions'!$A$16:$C$19,3,FALSE)+(P107-5)*0.10+(Q107-5)*0.08+(I107/10)*0.25-(R107-5)*0.10,1)</x:f>
        <x:v>5.9</x:v>
      </x:c>
      <x:c r="T107" s="47" t="str">
        <x:f>IF(U107&lt;&gt;"Use Model",U107,IF(S107&gt;=8.5,"Priority",IF(S107&gt;=7.6,"Target",IF(S107&gt;=6.8,"Watch","Neutral"))))</x:f>
        <x:v>Neutral</x:v>
      </x:c>
      <x:c r="U107" s="50" t="str">
        <x:v>Use Model</x:v>
      </x:c>
      <x:c r="V107" s="51" t="str"/>
      <x:c r="W107" s="51" t="str">
        <x:v>Fits the two-FLEX build by adding either bankable touches or contingent workload at the correct price.</x:v>
      </x:c>
      <x:c r="X107" s="51" t="str">
        <x:v>The player can be useful without separating enough from readily available waiver-wire alternatives.</x:v>
      </x:c>
      <x:c r="Y107" s="51" t="str">
        <x:v>Use the Turn Board to select the highest remaining player in the same position/value tier.</x:v>
      </x:c>
      <x:c r="Z107" s="51" t="str">
        <x:v>Pair with a WR at the same turn unless he is a clear faller.</x:v>
      </x:c>
      <x:c r="AA107" s="51" t="n">
        <x:v>104</x:v>
      </x:c>
      <x:c r="AB107" s="51" t="n">
        <x:v>105</x:v>
      </x:c>
      <x:c r="AC107" s="51" t="n">
        <x:v>120</x:v>
      </x:c>
      <x:c r="AD107" s="51" t="str">
        <x:v>https://g.espncdn.com/s/ffldraftkit/26/NFL26_CS_PPR300.pdf?adddata=2026CS_PPR300</x:v>
      </x:c>
      <x:c r="AE107" s="51" t="str">
        <x:v>https://fantasyfootballcalculator.com/adp/ppr/8-team/all</x:v>
      </x:c>
      <x:c r="AF107" s="51" t="str">
        <x:v>https://www.rotowire.com/football/article/2026-fantasy-football-rankings-ppr-preseason-week-2-update-129449</x:v>
      </x:c>
      <x:c r="AG107" s="47" t="str">
        <x:f>IF(COUNTIFS('Live Draft'!$D$6:$D$133,8,'Live Draft'!$E$6:$E$133,A107)&gt;0,"My Team",IF(COUNTIF('Live Draft'!$E$6:$E$133,A107)&gt;0,"Other Team","Available"))</x:f>
        <x:v>Available</x:v>
      </x:c>
      <x:c r="AH107" s="52" t="n">
        <x:v>46261</x:v>
      </x:c>
    </x:row>
    <x:row r="108" ht="44" hidden="0" customHeight="1">
      <x:c r="A108" s="46" t="str">
        <x:v>Dalton Kincaid</x:v>
      </x:c>
      <x:c r="B108" s="47" t="str">
        <x:v>TE</x:v>
      </x:c>
      <x:c r="C108" s="47" t="str">
        <x:v>BUF</x:v>
      </x:c>
      <x:c r="D108" s="48" t="n">
        <x:v>7</x:v>
      </x:c>
      <x:c r="E108" s="48" t="n">
        <x:v>116</x:v>
      </x:c>
      <x:c r="F108" s="48" t="n">
        <x:v>117</x:v>
      </x:c>
      <x:c r="G108" s="48" t="n">
        <x:v>140</x:v>
      </x:c>
      <x:c r="H108" s="48" t="n">
        <x:v>-1</x:v>
      </x:c>
      <x:c r="I108" s="48" t="n">
        <x:v>23</x:v>
      </x:c>
      <x:c r="J108" s="48" t="n">
        <x:v>16</x:v>
      </x:c>
      <x:c r="K108" s="48" t="n">
        <x:v>121</x:v>
      </x:c>
      <x:c r="L108" s="48" t="str">
        <x:v>Lottery</x:v>
      </x:c>
      <x:c r="M108" s="48" t="str">
        <x:v>Positional leverage</x:v>
      </x:c>
      <x:c r="N108" s="48" t="n">
        <x:v>5</x:v>
      </x:c>
      <x:c r="O108" s="48" t="n">
        <x:v>6</x:v>
      </x:c>
      <x:c r="P108" s="48" t="n">
        <x:v>5</x:v>
      </x:c>
      <x:c r="Q108" s="48" t="n">
        <x:v>5</x:v>
      </x:c>
      <x:c r="R108" s="48" t="n">
        <x:v>3</x:v>
      </x:c>
      <x:c r="S108" s="49" t="n">
        <x:f>ROUND(N108*VLOOKUP(L108,'Assumptions'!$A$16:$C$19,2,FALSE)+O108*VLOOKUP(L108,'Assumptions'!$A$16:$C$19,3,FALSE)+(P108-5)*0.10+(Q108-5)*0.08+(I108/10)*0.25-(R108-5)*0.10,1)</x:f>
        <x:v>6.7</x:v>
      </x:c>
      <x:c r="T108" s="47" t="str">
        <x:f>IF(U108&lt;&gt;"Use Model",U108,IF(S108&gt;=8.5,"Priority",IF(S108&gt;=7.6,"Target",IF(S108&gt;=6.8,"Watch","Neutral"))))</x:f>
        <x:v>Target</x:v>
      </x:c>
      <x:c r="U108" s="50" t="str">
        <x:v>Target</x:v>
      </x:c>
      <x:c r="V108" s="51" t="str"/>
      <x:c r="W108" s="51" t="str">
        <x:v>Can create weekly positional leverage if selected at or below the recommended turn.</x:v>
      </x:c>
      <x:c r="X108" s="51" t="str">
        <x:v>The player can be useful without separating enough from readily available waiver-wire alternatives.</x:v>
      </x:c>
      <x:c r="Y108" s="51" t="str">
        <x:v>Use the Turn Board to select the highest remaining player in the same position/value tier.</x:v>
      </x:c>
      <x:c r="Z108" s="51" t="str">
        <x:v>Do not draft a second TE.</x:v>
      </x:c>
      <x:c r="AA108" s="51" t="n">
        <x:v>120</x:v>
      </x:c>
      <x:c r="AB108" s="51" t="n">
        <x:v>121</x:v>
      </x:c>
      <x:c r="AC108" s="51" t="n">
        <x:v>121</x:v>
      </x:c>
      <x:c r="AD108" s="51" t="str">
        <x:v>https://g.espncdn.com/s/ffldraftkit/26/NFL26_CS_PPR300.pdf?adddata=2026CS_PPR300</x:v>
      </x:c>
      <x:c r="AE108" s="51" t="str">
        <x:v>https://fantasyfootballcalculator.com/adp/ppr/8-team/all</x:v>
      </x:c>
      <x:c r="AF108" s="51" t="str">
        <x:v>https://www.rotowire.com/football/article/2026-fantasy-football-rankings-ppr-preseason-week-2-update-129449</x:v>
      </x:c>
      <x:c r="AG108" s="47" t="str">
        <x:f>IF(COUNTIFS('Live Draft'!$D$6:$D$133,8,'Live Draft'!$E$6:$E$133,A108)&gt;0,"My Team",IF(COUNTIF('Live Draft'!$E$6:$E$133,A108)&gt;0,"Other Team","Available"))</x:f>
        <x:v>Available</x:v>
      </x:c>
      <x:c r="AH108" s="52" t="n">
        <x:v>46261</x:v>
      </x:c>
    </x:row>
    <x:row r="109" ht="44" hidden="0" customHeight="1">
      <x:c r="A109" s="46" t="str">
        <x:v>Jordan Mason</x:v>
      </x:c>
      <x:c r="B109" s="47" t="str">
        <x:v>RB</x:v>
      </x:c>
      <x:c r="C109" s="47" t="str">
        <x:v>MIN</x:v>
      </x:c>
      <x:c r="D109" s="48" t="n">
        <x:v>6</x:v>
      </x:c>
      <x:c r="E109" s="48" t="n">
        <x:v>120</x:v>
      </x:c>
      <x:c r="F109" s="48" t="n">
        <x:v>96</x:v>
      </x:c>
      <x:c r="G109" s="48" t="n">
        <x:v>124</x:v>
      </x:c>
      <x:c r="H109" s="48" t="n">
        <x:v>24</x:v>
      </x:c>
      <x:c r="I109" s="48" t="n">
        <x:v>28</x:v>
      </x:c>
      <x:c r="J109" s="48" t="n">
        <x:v>14</x:v>
      </x:c>
      <x:c r="K109" s="48" t="n">
        <x:v>105</x:v>
      </x:c>
      <x:c r="L109" s="48" t="str">
        <x:v>Lottery</x:v>
      </x:c>
      <x:c r="M109" s="48" t="str">
        <x:v>Contingent RB</x:v>
      </x:c>
      <x:c r="N109" s="48" t="n">
        <x:v>4</x:v>
      </x:c>
      <x:c r="O109" s="48" t="n">
        <x:v>8</x:v>
      </x:c>
      <x:c r="P109" s="48" t="n">
        <x:v>5</x:v>
      </x:c>
      <x:c r="Q109" s="48" t="n">
        <x:v>5</x:v>
      </x:c>
      <x:c r="R109" s="48" t="n">
        <x:v>3</x:v>
      </x:c>
      <x:c r="S109" s="49" t="n">
        <x:f>ROUND(N109*VLOOKUP(L109,'Assumptions'!$A$16:$C$19,2,FALSE)+O109*VLOOKUP(L109,'Assumptions'!$A$16:$C$19,3,FALSE)+(P109-5)*0.10+(Q109-5)*0.08+(I109/10)*0.25-(R109-5)*0.10,1)</x:f>
        <x:v>8.5</x:v>
      </x:c>
      <x:c r="T109" s="47" t="str">
        <x:f>IF(U109&lt;&gt;"Use Model",U109,IF(S109&gt;=8.5,"Priority",IF(S109&gt;=7.6,"Target",IF(S109&gt;=6.8,"Watch","Neutral"))))</x:f>
        <x:v>Target</x:v>
      </x:c>
      <x:c r="U109" s="50" t="str">
        <x:v>Target</x:v>
      </x:c>
      <x:c r="V109" s="51" t="str"/>
      <x:c r="W109" s="51" t="str">
        <x:v>A late bench slot with a clear path to a major value jump if the backfield ahead of him changes.</x:v>
      </x:c>
      <x:c r="X109" s="51" t="str">
        <x:v>May provide little standalone value while the depth chart remains intact.</x:v>
      </x:c>
      <x:c r="Y109" s="51" t="str">
        <x:v>Blake Corum; Kyle Monangai; Aaron Jones Sr.</x:v>
      </x:c>
      <x:c r="Z109" s="51" t="str">
        <x:v>Pair with a WR at the same turn unless he is a clear faller.</x:v>
      </x:c>
      <x:c r="AA109" s="51" t="n">
        <x:v>104</x:v>
      </x:c>
      <x:c r="AB109" s="51" t="n">
        <x:v>105</x:v>
      </x:c>
      <x:c r="AC109" s="51" t="n">
        <x:v>120</x:v>
      </x:c>
      <x:c r="AD109" s="51" t="str">
        <x:v>https://g.espncdn.com/s/ffldraftkit/26/NFL26_CS_PPR300.pdf?adddata=2026CS_PPR300</x:v>
      </x:c>
      <x:c r="AE109" s="51" t="str">
        <x:v>https://fantasyfootballcalculator.com/adp/ppr/8-team/all</x:v>
      </x:c>
      <x:c r="AF109" s="51" t="str">
        <x:v>https://www.rotowire.com/football/article/2026-fantasy-football-rankings-ppr-preseason-week-2-update-129449</x:v>
      </x:c>
      <x:c r="AG109" s="47" t="str">
        <x:f>IF(COUNTIFS('Live Draft'!$D$6:$D$133,8,'Live Draft'!$E$6:$E$133,A109)&gt;0,"My Team",IF(COUNTIF('Live Draft'!$E$6:$E$133,A109)&gt;0,"Other Team","Available"))</x:f>
        <x:v>Available</x:v>
      </x:c>
      <x:c r="AH109" s="52" t="n">
        <x:v>46261</x:v>
      </x:c>
    </x:row>
    <x:row r="110" ht="44" hidden="0" customHeight="1">
      <x:c r="A110" s="46" t="str">
        <x:v>Blake Corum</x:v>
      </x:c>
      <x:c r="B110" s="47" t="str">
        <x:v>RB</x:v>
      </x:c>
      <x:c r="C110" s="47" t="str">
        <x:v>LAR</x:v>
      </x:c>
      <x:c r="D110" s="48" t="n">
        <x:v>11</x:v>
      </x:c>
      <x:c r="E110" s="48" t="n">
        <x:v>121</x:v>
      </x:c>
      <x:c r="F110" s="48" t="n">
        <x:v>88</x:v>
      </x:c>
      <x:c r="G110" s="48" t="n">
        <x:v>128</x:v>
      </x:c>
      <x:c r="H110" s="48" t="n">
        <x:v>33</x:v>
      </x:c>
      <x:c r="I110" s="48" t="n">
        <x:v>40</x:v>
      </x:c>
      <x:c r="J110" s="48" t="n">
        <x:v>14</x:v>
      </x:c>
      <x:c r="K110" s="48" t="n">
        <x:v>105</x:v>
      </x:c>
      <x:c r="L110" s="48" t="str">
        <x:v>Lottery</x:v>
      </x:c>
      <x:c r="M110" s="48" t="str">
        <x:v>Contingent RB</x:v>
      </x:c>
      <x:c r="N110" s="48" t="n">
        <x:v>4</x:v>
      </x:c>
      <x:c r="O110" s="48" t="n">
        <x:v>8</x:v>
      </x:c>
      <x:c r="P110" s="48" t="n">
        <x:v>6</x:v>
      </x:c>
      <x:c r="Q110" s="48" t="n">
        <x:v>6</x:v>
      </x:c>
      <x:c r="R110" s="48" t="n">
        <x:v>3</x:v>
      </x:c>
      <x:c r="S110" s="49" t="n">
        <x:f>ROUND(N110*VLOOKUP(L110,'Assumptions'!$A$16:$C$19,2,FALSE)+O110*VLOOKUP(L110,'Assumptions'!$A$16:$C$19,3,FALSE)+(P110-5)*0.10+(Q110-5)*0.08+(I110/10)*0.25-(R110-5)*0.10,1)</x:f>
        <x:v>9</x:v>
      </x:c>
      <x:c r="T110" s="47" t="str">
        <x:f>IF(U110&lt;&gt;"Use Model",U110,IF(S110&gt;=8.5,"Priority",IF(S110&gt;=7.6,"Target",IF(S110&gt;=6.8,"Watch","Neutral"))))</x:f>
        <x:v>Target</x:v>
      </x:c>
      <x:c r="U110" s="50" t="str">
        <x:v>Target</x:v>
      </x:c>
      <x:c r="V110" s="51" t="str"/>
      <x:c r="W110" s="51" t="str">
        <x:v>Pure late-round asymmetric bet; role value can multiply on one depth-chart event.</x:v>
      </x:c>
      <x:c r="X110" s="51" t="str">
        <x:v>Limited standalone work makes him easy to cut if the path never opens.</x:v>
      </x:c>
      <x:c r="Y110" s="51" t="str">
        <x:v>Jordan Mason; Kyle Monangai; RJ Harvey</x:v>
      </x:c>
      <x:c r="Z110" s="51" t="str">
        <x:v>Pair with a WR at the same turn unless he is a clear faller.</x:v>
      </x:c>
      <x:c r="AA110" s="51" t="n">
        <x:v>104</x:v>
      </x:c>
      <x:c r="AB110" s="51" t="n">
        <x:v>105</x:v>
      </x:c>
      <x:c r="AC110" s="51" t="n">
        <x:v>120</x:v>
      </x:c>
      <x:c r="AD110" s="51" t="str">
        <x:v>https://g.espncdn.com/s/ffldraftkit/26/NFL26_CS_PPR300.pdf?adddata=2026CS_PPR300</x:v>
      </x:c>
      <x:c r="AE110" s="51" t="str">
        <x:v>https://fantasyfootballcalculator.com/adp/ppr/8-team/all</x:v>
      </x:c>
      <x:c r="AF110" s="51" t="str">
        <x:v>https://www.rotowire.com/football/article/2026-fantasy-football-rankings-ppr-preseason-week-2-update-129449</x:v>
      </x:c>
      <x:c r="AG110" s="47" t="str">
        <x:f>IF(COUNTIFS('Live Draft'!$D$6:$D$133,8,'Live Draft'!$E$6:$E$133,A110)&gt;0,"My Team",IF(COUNTIF('Live Draft'!$E$6:$E$133,A110)&gt;0,"Other Team","Available"))</x:f>
        <x:v>Available</x:v>
      </x:c>
      <x:c r="AH110" s="52" t="n">
        <x:v>46261</x:v>
      </x:c>
    </x:row>
    <x:row r="111" ht="44" hidden="0" customHeight="1">
      <x:c r="A111" s="46" t="str">
        <x:v>RJ Harvey</x:v>
      </x:c>
      <x:c r="B111" s="47" t="str">
        <x:v>RB</x:v>
      </x:c>
      <x:c r="C111" s="47" t="str">
        <x:v>DEN</x:v>
      </x:c>
      <x:c r="D111" s="48" t="n">
        <x:v>10</x:v>
      </x:c>
      <x:c r="E111" s="48" t="n">
        <x:v>122</x:v>
      </x:c>
      <x:c r="F111" s="48" t="n">
        <x:v>97</x:v>
      </x:c>
      <x:c r="G111" s="48" t="n">
        <x:v>95</x:v>
      </x:c>
      <x:c r="H111" s="48" t="n">
        <x:v>25</x:v>
      </x:c>
      <x:c r="I111" s="48" t="n">
        <x:v>-2</x:v>
      </x:c>
      <x:c r="J111" s="48" t="n">
        <x:v>12</x:v>
      </x:c>
      <x:c r="K111" s="48" t="n">
        <x:v>89</x:v>
      </x:c>
      <x:c r="L111" s="48" t="str">
        <x:v>Upside</x:v>
      </x:c>
      <x:c r="M111" s="48" t="str">
        <x:v>Volume + contingency</x:v>
      </x:c>
      <x:c r="N111" s="48" t="n">
        <x:v>5</x:v>
      </x:c>
      <x:c r="O111" s="48" t="n">
        <x:v>6</x:v>
      </x:c>
      <x:c r="P111" s="48" t="n">
        <x:v>5</x:v>
      </x:c>
      <x:c r="Q111" s="48" t="n">
        <x:v>5</x:v>
      </x:c>
      <x:c r="R111" s="48" t="n">
        <x:v>3</x:v>
      </x:c>
      <x:c r="S111" s="49" t="n">
        <x:f>ROUND(N111*VLOOKUP(L111,'Assumptions'!$A$16:$C$19,2,FALSE)+O111*VLOOKUP(L111,'Assumptions'!$A$16:$C$19,3,FALSE)+(P111-5)*0.10+(Q111-5)*0.08+(I111/10)*0.25-(R111-5)*0.10,1)</x:f>
        <x:v>5.9</x:v>
      </x:c>
      <x:c r="T111" s="47" t="str">
        <x:f>IF(U111&lt;&gt;"Use Model",U111,IF(S111&gt;=8.5,"Priority",IF(S111&gt;=7.6,"Target",IF(S111&gt;=6.8,"Watch","Neutral"))))</x:f>
        <x:v>Target</x:v>
      </x:c>
      <x:c r="U111" s="50" t="str">
        <x:v>Target</x:v>
      </x:c>
      <x:c r="V111" s="51" t="str"/>
      <x:c r="W111" s="51" t="str">
        <x:v>Fits the two-FLEX build by adding either bankable touches or contingent workload at the correct price.</x:v>
      </x:c>
      <x:c r="X111" s="51" t="str">
        <x:v>The player can be useful without separating enough from readily available waiver-wire alternatives.</x:v>
      </x:c>
      <x:c r="Y111" s="51" t="str">
        <x:v>Use the Turn Board to select the highest remaining player in the same position/value tier.</x:v>
      </x:c>
      <x:c r="Z111" s="51" t="str">
        <x:v>Pair with a WR at the same turn unless he is a clear faller.</x:v>
      </x:c>
      <x:c r="AA111" s="51" t="n">
        <x:v>88</x:v>
      </x:c>
      <x:c r="AB111" s="51" t="n">
        <x:v>89</x:v>
      </x:c>
      <x:c r="AC111" s="51" t="n">
        <x:v>104</x:v>
      </x:c>
      <x:c r="AD111" s="51" t="str">
        <x:v>https://g.espncdn.com/s/ffldraftkit/26/NFL26_CS_PPR300.pdf?adddata=2026CS_PPR300</x:v>
      </x:c>
      <x:c r="AE111" s="51" t="str">
        <x:v>https://fantasyfootballcalculator.com/adp/ppr/8-team/all</x:v>
      </x:c>
      <x:c r="AF111" s="51" t="str">
        <x:v>https://www.rotowire.com/football/article/2026-fantasy-football-rankings-ppr-preseason-week-2-update-129449</x:v>
      </x:c>
      <x:c r="AG111" s="47" t="str">
        <x:f>IF(COUNTIFS('Live Draft'!$D$6:$D$133,8,'Live Draft'!$E$6:$E$133,A111)&gt;0,"My Team",IF(COUNTIF('Live Draft'!$E$6:$E$133,A111)&gt;0,"Other Team","Available"))</x:f>
        <x:v>Available</x:v>
      </x:c>
      <x:c r="AH111" s="52" t="n">
        <x:v>46261</x:v>
      </x:c>
    </x:row>
    <x:row r="112" ht="44" hidden="0" customHeight="1">
      <x:c r="A112" s="46" t="str">
        <x:v>Stefon Diggs</x:v>
      </x:c>
      <x:c r="B112" s="47" t="str">
        <x:v>WR</x:v>
      </x:c>
      <x:c r="C112" s="47" t="str">
        <x:v>WAS</x:v>
      </x:c>
      <x:c r="D112" s="48" t="n">
        <x:v>7</x:v>
      </x:c>
      <x:c r="E112" s="48" t="n">
        <x:v>124</x:v>
      </x:c>
      <x:c r="F112" s="48" t="n">
        <x:v>98</x:v>
      </x:c>
      <x:c r="G112" s="48" t="n">
        <x:v>94</x:v>
      </x:c>
      <x:c r="H112" s="48" t="n">
        <x:v>26</x:v>
      </x:c>
      <x:c r="I112" s="48" t="n">
        <x:v>-4</x:v>
      </x:c>
      <x:c r="J112" s="48" t="n">
        <x:v>13</x:v>
      </x:c>
      <x:c r="K112" s="48" t="n">
        <x:v>104</x:v>
      </x:c>
      <x:c r="L112" s="48" t="str">
        <x:v>Lottery</x:v>
      </x:c>
      <x:c r="M112" s="48" t="str">
        <x:v>Target + spike weeks</x:v>
      </x:c>
      <x:c r="N112" s="48" t="n">
        <x:v>5</x:v>
      </x:c>
      <x:c r="O112" s="48" t="n">
        <x:v>6</x:v>
      </x:c>
      <x:c r="P112" s="48" t="n">
        <x:v>5</x:v>
      </x:c>
      <x:c r="Q112" s="48" t="n">
        <x:v>5</x:v>
      </x:c>
      <x:c r="R112" s="48" t="n">
        <x:v>3</x:v>
      </x:c>
      <x:c r="S112" s="49" t="n">
        <x:f>ROUND(N112*VLOOKUP(L112,'Assumptions'!$A$16:$C$19,2,FALSE)+O112*VLOOKUP(L112,'Assumptions'!$A$16:$C$19,3,FALSE)+(P112-5)*0.10+(Q112-5)*0.08+(I112/10)*0.25-(R112-5)*0.10,1)</x:f>
        <x:v>6</x:v>
      </x:c>
      <x:c r="T112" s="47" t="str">
        <x:f>IF(U112&lt;&gt;"Use Model",U112,IF(S112&gt;=8.5,"Priority",IF(S112&gt;=7.6,"Target",IF(S112&gt;=6.8,"Watch","Neutral"))))</x:f>
        <x:v>Target</x:v>
      </x:c>
      <x:c r="U112" s="50" t="str">
        <x:v>Target</x:v>
      </x:c>
      <x:c r="V112" s="51" t="str"/>
      <x:c r="W112" s="51" t="str">
        <x:v>Adds startable target volume and spike-week potential without requiring a rigid positional build.</x:v>
      </x:c>
      <x:c r="X112" s="51" t="str">
        <x:v>The player can be useful without separating enough from readily available waiver-wire alternatives.</x:v>
      </x:c>
      <x:c r="Y112" s="51" t="str">
        <x:v>Use the Turn Board to select the highest remaining player in the same position/value tier.</x:v>
      </x:c>
      <x:c r="Z112" s="51" t="str">
        <x:v>Pair with RB scarcity or premium QB/TE leverage.</x:v>
      </x:c>
      <x:c r="AA112" s="51" t="n">
        <x:v>89</x:v>
      </x:c>
      <x:c r="AB112" s="51" t="n">
        <x:v>104</x:v>
      </x:c>
      <x:c r="AC112" s="51" t="n">
        <x:v>105</x:v>
      </x:c>
      <x:c r="AD112" s="51" t="str">
        <x:v>https://g.espncdn.com/s/ffldraftkit/26/NFL26_CS_PPR300.pdf?adddata=2026CS_PPR300</x:v>
      </x:c>
      <x:c r="AE112" s="51" t="str">
        <x:v>https://fantasyfootballcalculator.com/adp/ppr/8-team/all</x:v>
      </x:c>
      <x:c r="AF112" s="51" t="str">
        <x:v>https://www.rotowire.com/football/article/2026-fantasy-football-rankings-ppr-preseason-week-2-update-129449</x:v>
      </x:c>
      <x:c r="AG112" s="47" t="str">
        <x:f>IF(COUNTIFS('Live Draft'!$D$6:$D$133,8,'Live Draft'!$E$6:$E$133,A112)&gt;0,"My Team",IF(COUNTIF('Live Draft'!$E$6:$E$133,A112)&gt;0,"Other Team","Available"))</x:f>
        <x:v>Available</x:v>
      </x:c>
      <x:c r="AH112" s="52" t="n">
        <x:v>46261</x:v>
      </x:c>
    </x:row>
    <x:row r="113" ht="44" hidden="0" customHeight="1">
      <x:c r="A113" s="46" t="str">
        <x:v>Makai Lemon</x:v>
      </x:c>
      <x:c r="B113" s="47" t="str">
        <x:v>WR</x:v>
      </x:c>
      <x:c r="C113" s="47" t="str">
        <x:v>PHI</x:v>
      </x:c>
      <x:c r="D113" s="48" t="n">
        <x:v>10</x:v>
      </x:c>
      <x:c r="E113" s="48" t="n">
        <x:v>125</x:v>
      </x:c>
      <x:c r="F113" s="48" t="n">
        <x:v>102</x:v>
      </x:c>
      <x:c r="G113" s="48" t="n">
        <x:v>123</x:v>
      </x:c>
      <x:c r="H113" s="48" t="n">
        <x:v>23</x:v>
      </x:c>
      <x:c r="I113" s="48" t="n">
        <x:v>21</x:v>
      </x:c>
      <x:c r="J113" s="48" t="n">
        <x:v>14</x:v>
      </x:c>
      <x:c r="K113" s="48" t="n">
        <x:v>105</x:v>
      </x:c>
      <x:c r="L113" s="48" t="str">
        <x:v>Lottery</x:v>
      </x:c>
      <x:c r="M113" s="48" t="str">
        <x:v>Target + spike weeks</x:v>
      </x:c>
      <x:c r="N113" s="48" t="n">
        <x:v>5</x:v>
      </x:c>
      <x:c r="O113" s="48" t="n">
        <x:v>6</x:v>
      </x:c>
      <x:c r="P113" s="48" t="n">
        <x:v>5</x:v>
      </x:c>
      <x:c r="Q113" s="48" t="n">
        <x:v>5</x:v>
      </x:c>
      <x:c r="R113" s="48" t="n">
        <x:v>3</x:v>
      </x:c>
      <x:c r="S113" s="49" t="n">
        <x:f>ROUND(N113*VLOOKUP(L113,'Assumptions'!$A$16:$C$19,2,FALSE)+O113*VLOOKUP(L113,'Assumptions'!$A$16:$C$19,3,FALSE)+(P113-5)*0.10+(Q113-5)*0.08+(I113/10)*0.25-(R113-5)*0.10,1)</x:f>
        <x:v>6.6</x:v>
      </x:c>
      <x:c r="T113" s="47" t="str">
        <x:f>IF(U113&lt;&gt;"Use Model",U113,IF(S113&gt;=8.5,"Priority",IF(S113&gt;=7.6,"Target",IF(S113&gt;=6.8,"Watch","Neutral"))))</x:f>
        <x:v>Target</x:v>
      </x:c>
      <x:c r="U113" s="50" t="str">
        <x:v>Target</x:v>
      </x:c>
      <x:c r="V113" s="51" t="str"/>
      <x:c r="W113" s="51" t="str">
        <x:v>Adds startable target volume and spike-week potential without requiring a rigid positional build.</x:v>
      </x:c>
      <x:c r="X113" s="51" t="str">
        <x:v>The player can be useful without separating enough from readily available waiver-wire alternatives.</x:v>
      </x:c>
      <x:c r="Y113" s="51" t="str">
        <x:v>Use the Turn Board to select the highest remaining player in the same position/value tier.</x:v>
      </x:c>
      <x:c r="Z113" s="51" t="str">
        <x:v>Pair with RB scarcity or premium QB/TE leverage.</x:v>
      </x:c>
      <x:c r="AA113" s="51" t="n">
        <x:v>104</x:v>
      </x:c>
      <x:c r="AB113" s="51" t="n">
        <x:v>105</x:v>
      </x:c>
      <x:c r="AC113" s="51" t="n">
        <x:v>120</x:v>
      </x:c>
      <x:c r="AD113" s="51" t="str">
        <x:v>https://g.espncdn.com/s/ffldraftkit/26/NFL26_CS_PPR300.pdf?adddata=2026CS_PPR300</x:v>
      </x:c>
      <x:c r="AE113" s="51" t="str">
        <x:v>https://fantasyfootballcalculator.com/adp/ppr/8-team/all</x:v>
      </x:c>
      <x:c r="AF113" s="51" t="str">
        <x:v>https://www.rotowire.com/football/article/2026-fantasy-football-rankings-ppr-preseason-week-2-update-129449</x:v>
      </x:c>
      <x:c r="AG113" s="47" t="str">
        <x:f>IF(COUNTIFS('Live Draft'!$D$6:$D$133,8,'Live Draft'!$E$6:$E$133,A113)&gt;0,"My Team",IF(COUNTIF('Live Draft'!$E$6:$E$133,A113)&gt;0,"Other Team","Available"))</x:f>
        <x:v>Available</x:v>
      </x:c>
      <x:c r="AH113" s="52" t="n">
        <x:v>46261</x:v>
      </x:c>
    </x:row>
    <x:row r="114" ht="44" hidden="0" customHeight="1">
      <x:c r="A114" s="46" t="str">
        <x:v>Chris Godwin Jr.</x:v>
      </x:c>
      <x:c r="B114" s="47" t="str">
        <x:v>WR</x:v>
      </x:c>
      <x:c r="C114" s="47" t="str">
        <x:v>TB</x:v>
      </x:c>
      <x:c r="D114" s="48" t="n">
        <x:v>10</x:v>
      </x:c>
      <x:c r="E114" s="48" t="n">
        <x:v>127</x:v>
      </x:c>
      <x:c r="F114" s="48" t="n">
        <x:v>86</x:v>
      </x:c>
      <x:c r="G114" s="48" t="n">
        <x:v>83</x:v>
      </x:c>
      <x:c r="H114" s="48" t="n">
        <x:v>41</x:v>
      </x:c>
      <x:c r="I114" s="48" t="n">
        <x:v>-3</x:v>
      </x:c>
      <x:c r="J114" s="48" t="n">
        <x:v>11</x:v>
      </x:c>
      <x:c r="K114" s="48" t="n">
        <x:v>88</x:v>
      </x:c>
      <x:c r="L114" s="48" t="str">
        <x:v>Upside</x:v>
      </x:c>
      <x:c r="M114" s="48" t="str">
        <x:v>Target + spike weeks</x:v>
      </x:c>
      <x:c r="N114" s="48" t="n">
        <x:v>6</x:v>
      </x:c>
      <x:c r="O114" s="48" t="n">
        <x:v>7</x:v>
      </x:c>
      <x:c r="P114" s="48" t="n">
        <x:v>6</x:v>
      </x:c>
      <x:c r="Q114" s="48" t="n">
        <x:v>6</x:v>
      </x:c>
      <x:c r="R114" s="48" t="n">
        <x:v>3</x:v>
      </x:c>
      <x:c r="S114" s="49" t="n">
        <x:f>ROUND(N114*VLOOKUP(L114,'Assumptions'!$A$16:$C$19,2,FALSE)+O114*VLOOKUP(L114,'Assumptions'!$A$16:$C$19,3,FALSE)+(P114-5)*0.10+(Q114-5)*0.08+(I114/10)*0.25-(R114-5)*0.10,1)</x:f>
        <x:v>7.1</x:v>
      </x:c>
      <x:c r="T114" s="47" t="str">
        <x:f>IF(U114&lt;&gt;"Use Model",U114,IF(S114&gt;=8.5,"Priority",IF(S114&gt;=7.6,"Target",IF(S114&gt;=6.8,"Watch","Neutral"))))</x:f>
        <x:v>Target</x:v>
      </x:c>
      <x:c r="U114" s="50" t="str">
        <x:v>Target</x:v>
      </x:c>
      <x:c r="V114" s="51" t="str"/>
      <x:c r="W114" s="51" t="str">
        <x:v>Adds startable target volume and spike-week potential without requiring a rigid positional build.</x:v>
      </x:c>
      <x:c r="X114" s="51" t="str">
        <x:v>The player can be useful without separating enough from readily available waiver-wire alternatives.</x:v>
      </x:c>
      <x:c r="Y114" s="51" t="str">
        <x:v>Use the Turn Board to select the highest remaining player in the same position/value tier.</x:v>
      </x:c>
      <x:c r="Z114" s="51" t="str">
        <x:v>Pair with RB scarcity or premium QB/TE leverage.</x:v>
      </x:c>
      <x:c r="AA114" s="51" t="n">
        <x:v>73</x:v>
      </x:c>
      <x:c r="AB114" s="51" t="n">
        <x:v>88</x:v>
      </x:c>
      <x:c r="AC114" s="51" t="n">
        <x:v>89</x:v>
      </x:c>
      <x:c r="AD114" s="51" t="str">
        <x:v>https://g.espncdn.com/s/ffldraftkit/26/NFL26_CS_PPR300.pdf?adddata=2026CS_PPR300</x:v>
      </x:c>
      <x:c r="AE114" s="51" t="str">
        <x:v>https://fantasyfootballcalculator.com/adp/ppr/8-team/all</x:v>
      </x:c>
      <x:c r="AF114" s="51" t="str">
        <x:v>https://www.rotowire.com/football/article/2026-fantasy-football-rankings-ppr-preseason-week-2-update-129449</x:v>
      </x:c>
      <x:c r="AG114" s="47" t="str">
        <x:f>IF(COUNTIFS('Live Draft'!$D$6:$D$133,8,'Live Draft'!$E$6:$E$133,A114)&gt;0,"My Team",IF(COUNTIF('Live Draft'!$E$6:$E$133,A114)&gt;0,"Other Team","Available"))</x:f>
        <x:v>Available</x:v>
      </x:c>
      <x:c r="AH114" s="52" t="n">
        <x:v>46261</x:v>
      </x:c>
    </x:row>
    <x:row r="115" ht="44" hidden="0" customHeight="1">
      <x:c r="A115" s="46" t="str">
        <x:v>Kyler Murray</x:v>
      </x:c>
      <x:c r="B115" s="47" t="str">
        <x:v>QB</x:v>
      </x:c>
      <x:c r="C115" s="47" t="str">
        <x:v>MIN</x:v>
      </x:c>
      <x:c r="D115" s="48" t="n">
        <x:v>6</x:v>
      </x:c>
      <x:c r="E115" s="48" t="n">
        <x:v>133</x:v>
      </x:c>
      <x:c r="F115" s="48" t="n">
        <x:v>108</x:v>
      </x:c>
      <x:c r="G115" s="48" t="n">
        <x:v>138</x:v>
      </x:c>
      <x:c r="H115" s="48" t="n">
        <x:v>25</x:v>
      </x:c>
      <x:c r="I115" s="48" t="n">
        <x:v>30</x:v>
      </x:c>
      <x:c r="J115" s="48" t="n">
        <x:v>15</x:v>
      </x:c>
      <x:c r="K115" s="48" t="n">
        <x:v>120</x:v>
      </x:c>
      <x:c r="L115" s="48" t="str">
        <x:v>Lottery</x:v>
      </x:c>
      <x:c r="M115" s="48" t="str">
        <x:v>One-QB value</x:v>
      </x:c>
      <x:c r="N115" s="48" t="n">
        <x:v>5</x:v>
      </x:c>
      <x:c r="O115" s="48" t="n">
        <x:v>6</x:v>
      </x:c>
      <x:c r="P115" s="48" t="n">
        <x:v>5</x:v>
      </x:c>
      <x:c r="Q115" s="48" t="n">
        <x:v>5</x:v>
      </x:c>
      <x:c r="R115" s="48" t="n">
        <x:v>3</x:v>
      </x:c>
      <x:c r="S115" s="49" t="n">
        <x:f>ROUND(N115*VLOOKUP(L115,'Assumptions'!$A$16:$C$19,2,FALSE)+O115*VLOOKUP(L115,'Assumptions'!$A$16:$C$19,3,FALSE)+(P115-5)*0.10+(Q115-5)*0.08+(I115/10)*0.25-(R115-5)*0.10,1)</x:f>
        <x:v>6.9</x:v>
      </x:c>
      <x:c r="T115" s="47" t="str">
        <x:f>IF(U115&lt;&gt;"Use Model",U115,IF(S115&gt;=8.5,"Priority",IF(S115&gt;=7.6,"Target",IF(S115&gt;=6.8,"Watch","Neutral"))))</x:f>
        <x:v>Target</x:v>
      </x:c>
      <x:c r="U115" s="50" t="str">
        <x:v>Target</x:v>
      </x:c>
      <x:c r="V115" s="51" t="str"/>
      <x:c r="W115" s="51" t="str">
        <x:v>Provides one-QB scoring leverage without sacrificing the early RB/WR foundation.</x:v>
      </x:c>
      <x:c r="X115" s="51" t="str">
        <x:v>The player can be useful without separating enough from readily available waiver-wire alternatives.</x:v>
      </x:c>
      <x:c r="Y115" s="51" t="str">
        <x:v>Use the Turn Board to select the highest remaining player in the same position/value tier.</x:v>
      </x:c>
      <x:c r="Z115" s="51" t="str">
        <x:v>Do not draft a second QB.</x:v>
      </x:c>
      <x:c r="AA115" s="51" t="n">
        <x:v>105</x:v>
      </x:c>
      <x:c r="AB115" s="51" t="n">
        <x:v>120</x:v>
      </x:c>
      <x:c r="AC115" s="51" t="n">
        <x:v>121</x:v>
      </x:c>
      <x:c r="AD115" s="51" t="str">
        <x:v>https://g.espncdn.com/s/ffldraftkit/26/NFL26_CS_PPR300.pdf?adddata=2026CS_PPR300</x:v>
      </x:c>
      <x:c r="AE115" s="51" t="str">
        <x:v>https://fantasyfootballcalculator.com/adp/ppr/8-team/all</x:v>
      </x:c>
      <x:c r="AF115" s="51" t="str">
        <x:v>https://www.rotowire.com/football/article/2026-fantasy-football-rankings-ppr-preseason-week-2-update-129449</x:v>
      </x:c>
      <x:c r="AG115" s="47" t="str">
        <x:f>IF(COUNTIFS('Live Draft'!$D$6:$D$133,8,'Live Draft'!$E$6:$E$133,A115)&gt;0,"My Team",IF(COUNTIF('Live Draft'!$E$6:$E$133,A115)&gt;0,"Other Team","Available"))</x:f>
        <x:v>Available</x:v>
      </x:c>
      <x:c r="AH115" s="52" t="n">
        <x:v>46261</x:v>
      </x:c>
    </x:row>
    <x:row r="116" ht="44" hidden="0" customHeight="1">
      <x:c r="A116" s="46" t="str">
        <x:v>Jared Goff</x:v>
      </x:c>
      <x:c r="B116" s="47" t="str">
        <x:v>QB</x:v>
      </x:c>
      <x:c r="C116" s="47" t="str">
        <x:v>DET</x:v>
      </x:c>
      <x:c r="D116" s="48" t="n">
        <x:v>6</x:v>
      </x:c>
      <x:c r="E116" s="48" t="n">
        <x:v>135</x:v>
      </x:c>
      <x:c r="F116" s="48" t="n">
        <x:v>118</x:v>
      </x:c>
      <x:c r="G116" s="48" t="n">
        <x:v>103</x:v>
      </x:c>
      <x:c r="H116" s="48" t="n">
        <x:v>17</x:v>
      </x:c>
      <x:c r="I116" s="48" t="n">
        <x:v>-15</x:v>
      </x:c>
      <x:c r="J116" s="48" t="n">
        <x:v>15</x:v>
      </x:c>
      <x:c r="K116" s="48" t="n">
        <x:v>120</x:v>
      </x:c>
      <x:c r="L116" s="48" t="str">
        <x:v>Lottery</x:v>
      </x:c>
      <x:c r="M116" s="48" t="str">
        <x:v>One-QB value</x:v>
      </x:c>
      <x:c r="N116" s="48" t="n">
        <x:v>5</x:v>
      </x:c>
      <x:c r="O116" s="48" t="n">
        <x:v>6</x:v>
      </x:c>
      <x:c r="P116" s="48" t="n">
        <x:v>5</x:v>
      </x:c>
      <x:c r="Q116" s="48" t="n">
        <x:v>5</x:v>
      </x:c>
      <x:c r="R116" s="48" t="n">
        <x:v>3</x:v>
      </x:c>
      <x:c r="S116" s="49" t="n">
        <x:f>ROUND(N116*VLOOKUP(L116,'Assumptions'!$A$16:$C$19,2,FALSE)+O116*VLOOKUP(L116,'Assumptions'!$A$16:$C$19,3,FALSE)+(P116-5)*0.10+(Q116-5)*0.08+(I116/10)*0.25-(R116-5)*0.10,1)</x:f>
        <x:v>5.7</x:v>
      </x:c>
      <x:c r="T116" s="47" t="str">
        <x:f>IF(U116&lt;&gt;"Use Model",U116,IF(S116&gt;=8.5,"Priority",IF(S116&gt;=7.6,"Target",IF(S116&gt;=6.8,"Watch","Neutral"))))</x:f>
        <x:v>Target</x:v>
      </x:c>
      <x:c r="U116" s="50" t="str">
        <x:v>Target</x:v>
      </x:c>
      <x:c r="V116" s="51" t="str"/>
      <x:c r="W116" s="51" t="str">
        <x:v>Provides one-QB scoring leverage without sacrificing the early RB/WR foundation.</x:v>
      </x:c>
      <x:c r="X116" s="51" t="str">
        <x:v>The player can be useful without separating enough from readily available waiver-wire alternatives.</x:v>
      </x:c>
      <x:c r="Y116" s="51" t="str">
        <x:v>Use the Turn Board to select the highest remaining player in the same position/value tier.</x:v>
      </x:c>
      <x:c r="Z116" s="51" t="str">
        <x:v>Do not draft a second QB.</x:v>
      </x:c>
      <x:c r="AA116" s="51" t="n">
        <x:v>105</x:v>
      </x:c>
      <x:c r="AB116" s="51" t="n">
        <x:v>120</x:v>
      </x:c>
      <x:c r="AC116" s="51" t="n">
        <x:v>121</x:v>
      </x:c>
      <x:c r="AD116" s="51" t="str">
        <x:v>https://g.espncdn.com/s/ffldraftkit/26/NFL26_CS_PPR300.pdf?adddata=2026CS_PPR300</x:v>
      </x:c>
      <x:c r="AE116" s="51" t="str">
        <x:v>https://fantasyfootballcalculator.com/adp/ppr/8-team/all</x:v>
      </x:c>
      <x:c r="AF116" s="51" t="str">
        <x:v>https://www.rotowire.com/football/article/2026-fantasy-football-rankings-ppr-preseason-week-2-update-129449</x:v>
      </x:c>
      <x:c r="AG116" s="47" t="str">
        <x:f>IF(COUNTIFS('Live Draft'!$D$6:$D$133,8,'Live Draft'!$E$6:$E$133,A116)&gt;0,"My Team",IF(COUNTIF('Live Draft'!$E$6:$E$133,A116)&gt;0,"Other Team","Available"))</x:f>
        <x:v>Available</x:v>
      </x:c>
      <x:c r="AH116" s="52" t="n">
        <x:v>46261</x:v>
      </x:c>
    </x:row>
    <x:row r="117" ht="44" hidden="0" customHeight="1">
      <x:c r="A117" s="53" t="str">
        <x:v>Baker Mayfield</x:v>
      </x:c>
      <x:c r="B117" s="54" t="str">
        <x:v>QB</x:v>
      </x:c>
      <x:c r="C117" s="54" t="str">
        <x:v>TB</x:v>
      </x:c>
      <x:c r="D117" s="55" t="n">
        <x:v>10</x:v>
      </x:c>
      <x:c r="E117" s="55" t="n">
        <x:v>149</x:v>
      </x:c>
      <x:c r="F117" s="55" t="n">
        <x:v>121</x:v>
      </x:c>
      <x:c r="G117" s="55" t="n">
        <x:v>135</x:v>
      </x:c>
      <x:c r="H117" s="55" t="n">
        <x:v>28</x:v>
      </x:c>
      <x:c r="I117" s="55" t="n">
        <x:v>14</x:v>
      </x:c>
      <x:c r="J117" s="55" t="n">
        <x:v>16</x:v>
      </x:c>
      <x:c r="K117" s="55" t="n">
        <x:v>121</x:v>
      </x:c>
      <x:c r="L117" s="55" t="str">
        <x:v>Lottery</x:v>
      </x:c>
      <x:c r="M117" s="55" t="str">
        <x:v>One-QB value</x:v>
      </x:c>
      <x:c r="N117" s="55" t="n">
        <x:v>5</x:v>
      </x:c>
      <x:c r="O117" s="55" t="n">
        <x:v>6</x:v>
      </x:c>
      <x:c r="P117" s="55" t="n">
        <x:v>5</x:v>
      </x:c>
      <x:c r="Q117" s="55" t="n">
        <x:v>5</x:v>
      </x:c>
      <x:c r="R117" s="55" t="n">
        <x:v>3</x:v>
      </x:c>
      <x:c r="S117" s="56" t="n">
        <x:f>ROUND(N117*VLOOKUP(L117,'Assumptions'!$A$16:$C$19,2,FALSE)+O117*VLOOKUP(L117,'Assumptions'!$A$16:$C$19,3,FALSE)+(P117-5)*0.10+(Q117-5)*0.08+(I117/10)*0.25-(R117-5)*0.10,1)</x:f>
        <x:v>6.5</x:v>
      </x:c>
      <x:c r="T117" s="54" t="str">
        <x:f>IF(U117&lt;&gt;"Use Model",U117,IF(S117&gt;=8.5,"Priority",IF(S117&gt;=7.6,"Target",IF(S117&gt;=6.8,"Watch","Neutral"))))</x:f>
        <x:v>Target</x:v>
      </x:c>
      <x:c r="U117" s="57" t="str">
        <x:v>Target</x:v>
      </x:c>
      <x:c r="V117" s="58" t="str"/>
      <x:c r="W117" s="58" t="str">
        <x:v>Provides one-QB scoring leverage without sacrificing the early RB/WR foundation.</x:v>
      </x:c>
      <x:c r="X117" s="58" t="str">
        <x:v>The player can be useful without separating enough from readily available waiver-wire alternatives.</x:v>
      </x:c>
      <x:c r="Y117" s="58" t="str">
        <x:v>Use the Turn Board to select the highest remaining player in the same position/value tier.</x:v>
      </x:c>
      <x:c r="Z117" s="58" t="str">
        <x:v>Do not draft a second QB.</x:v>
      </x:c>
      <x:c r="AA117" s="58" t="n">
        <x:v>120</x:v>
      </x:c>
      <x:c r="AB117" s="58" t="n">
        <x:v>121</x:v>
      </x:c>
      <x:c r="AC117" s="58" t="n">
        <x:v>121</x:v>
      </x:c>
      <x:c r="AD117" s="58" t="str">
        <x:v>https://g.espncdn.com/s/ffldraftkit/26/NFL26_CS_PPR300.pdf?adddata=2026CS_PPR300</x:v>
      </x:c>
      <x:c r="AE117" s="58" t="str">
        <x:v>https://fantasyfootballcalculator.com/adp/ppr/8-team/all</x:v>
      </x:c>
      <x:c r="AF117" s="58" t="str">
        <x:v>https://www.rotowire.com/football/article/2026-fantasy-football-rankings-ppr-preseason-week-2-update-129449</x:v>
      </x:c>
      <x:c r="AG117" s="54" t="str">
        <x:f>IF(COUNTIFS('Live Draft'!$D$6:$D$133,8,'Live Draft'!$E$6:$E$133,A117)&gt;0,"My Team",IF(COUNTIF('Live Draft'!$E$6:$E$133,A117)&gt;0,"Other Team","Available"))</x:f>
        <x:v>Available</x:v>
      </x:c>
      <x:c r="AH117" s="59" t="n">
        <x:v>46261</x:v>
      </x:c>
    </x:row>
  </x:sheetData>
  <x:mergeCells>
    <x:mergeCell ref="A1:AH2"/>
    <x:mergeCell ref="A3:AH3"/>
  </x:mergeCells>
  <x:conditionalFormatting sqref="T6:T117">
    <x:cfRule type="containsText" dxfId="0" priority="1" operator="containsText" text="Priority"/>
    <x:cfRule type="containsText" dxfId="1" priority="2" operator="containsText" text="Target"/>
    <x:cfRule type="containsText" dxfId="2" priority="3" operator="containsText" text="Fade"/>
    <x:cfRule type="containsText" dxfId="3" priority="4" operator="containsText" text="Avoid"/>
  </x:conditionalFormatting>
  <x:conditionalFormatting sqref="S6:S117">
    <x:cfRule type="colorScale" priority="5">
      <x:colorScale>
        <x:cfvo type="min"/>
        <x:cfvo type="percentile" val="50"/>
        <x:cfvo type="max"/>
        <x:color rgb="FFFEE2E2"/>
        <x:color rgb="FFFEF3C7"/>
        <x:color rgb="FFD1FAE5"/>
      </x:colorScale>
    </x:cfRule>
  </x:conditionalFormatting>
  <x:conditionalFormatting sqref="A6:AH117">
    <x:cfRule type="expression" dxfId="4" priority="6">
      <x:formula>$AG6="Other Team"</x:formula>
    </x:cfRule>
    <x:cfRule type="expression" dxfId="5" priority="7">
      <x:formula>$AG6="My Team"</x:formula>
    </x:cfRule>
  </x:conditionalFormatting>
  <x:dataValidations count="1">
    <x:dataValidation type="list" sqref="U6:U117">
      <x:formula1>"Use Model,Priority,Target,Watch,Neutral,Fade,Avoid"</x:formula1>
    </x:dataValidation>
  </x:dataValidations>
  <x:pageMargins left="0.7" right="0.7" top="0.75" bottom="0.75" header="0.3" footer="0.3"/>
  <x:legacyDrawing xmlns:r="http://schemas.openxmlformats.org/officeDocument/2006/relationships" r:id="R4f28424081fc498c"/>
  <x:tableParts count="1">
    <x:tablePart xmlns:r="http://schemas.openxmlformats.org/officeDocument/2006/relationships" r:id="Rd7324b481fdb45b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8" hidden="0" customWidth="1"/>
    <x:col min="4" max="4" width="42" hidden="0" customWidth="1"/>
    <x:col min="5" max="5" width="42" hidden="0" customWidth="1"/>
    <x:col min="6" max="6" width="36" hidden="0" customWidth="1"/>
    <x:col min="7" max="7" width="36" hidden="0" customWidth="1"/>
    <x:col min="8" max="8" width="36" hidden="0" customWidth="1"/>
  </x:cols>
  <x:sheetData>
    <x:row r="1">
      <x:c r="A1" s="3" t="str">
        <x:v>TURN BOARD — WHAT TO DO WHEN THE CLOCK STARTS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3"/>
    <x:row r="4" ht="15" hidden="0" customHeight="1">
      <x:c r="A4" s="27" t="str">
        <x:v>Rounds</x:v>
      </x:c>
      <x:c r="B4" s="27" t="str">
        <x:v>Picks</x:v>
      </x:c>
      <x:c r="C4" s="27" t="str">
        <x:v>Objective</x:v>
      </x:c>
      <x:c r="D4" s="27" t="str">
        <x:v>Primary names</x:v>
      </x:c>
      <x:c r="E4" s="27" t="str">
        <x:v>Secondary names</x:v>
      </x:c>
      <x:c r="F4" s="27" t="str">
        <x:v>QB / TE rule</x:v>
      </x:c>
      <x:c r="G4" s="27" t="str">
        <x:v>Abort condition</x:v>
      </x:c>
      <x:c r="H4" s="27" t="str">
        <x:v>Expected build after turn</x:v>
      </x:c>
    </x:row>
    <x:row r="5" ht="58" hidden="0" customHeight="1">
      <x:c r="A5" s="21" t="str">
        <x:v>1–2</x:v>
      </x:c>
      <x:c r="B5" s="21" t="str">
        <x:v>8 / 9</x:v>
      </x:c>
      <x:c r="C5" s="21" t="str">
        <x:v>One elite RB + one elite WR</x:v>
      </x:c>
      <x:c r="D5" s="21" t="str">
        <x:v>Amon-Ra; Jonathan Taylor; CeeDee</x:v>
      </x:c>
      <x:c r="E5" s="21" t="str">
        <x:v>Jefferson; James Cook; Achane</x:v>
      </x:c>
      <x:c r="F5" s="21" t="str">
        <x:v>No QB/TE</x:v>
      </x:c>
      <x:c r="G5" s="21" t="str">
        <x:v>Only go WR/WR if Amon-Ra + CeeDee/Jefferson are clearly best</x:v>
      </x:c>
      <x:c r="H5" s="21" t="str">
        <x:v>2 cornerstone RB/WR</x:v>
      </x:c>
    </x:row>
    <x:row r="6" ht="58" hidden="0" customHeight="1">
      <x:c r="A6" s="21" t="str">
        <x:v>3–4</x:v>
      </x:c>
      <x:c r="B6" s="21" t="str">
        <x:v>24 / 25</x:v>
      </x:c>
      <x:c r="C6" s="21" t="str">
        <x:v>Add positional hammer + second starter</x:v>
      </x:c>
      <x:c r="D6" s="21" t="str">
        <x:v>Bowers; A.J. Brown; Nico; Pickens</x:v>
      </x:c>
      <x:c r="E6" s="21" t="str">
        <x:v>Nabers; Hampton; Olave; Walker</x:v>
      </x:c>
      <x:c r="F6" s="21" t="str">
        <x:v>Take Bowers; otherwise wait TE</x:v>
      </x:c>
      <x:c r="G6" s="21" t="str">
        <x:v>Do not force McBride at an inflated ESPN price</x:v>
      </x:c>
      <x:c r="H6" s="21" t="str">
        <x:v>4 elite starters or 3 + TE</x:v>
      </x:c>
    </x:row>
    <x:row r="7" ht="58" hidden="0" customHeight="1">
      <x:c r="A7" s="21" t="str">
        <x:v>5–6</x:v>
      </x:c>
      <x:c r="B7" s="21" t="str">
        <x:v>40 / 41</x:v>
      </x:c>
      <x:c r="C7" s="21" t="str">
        <x:v>Fill RB2/WR3 and exploit ESPN gaps</x:v>
      </x:c>
      <x:c r="D7" s="21" t="str">
        <x:v>Ladd; Tee; Etienne</x:v>
      </x:c>
      <x:c r="E7" s="21" t="str">
        <x:v>Breece; Kyren; Egbuka; Loveland</x:v>
      </x:c>
      <x:c r="F7" s="21" t="str">
        <x:v>Allen only if he falls; Loveland only if no Bowers</x:v>
      </x:c>
      <x:c r="G7" s="21" t="str">
        <x:v>If four straight WRs, force a viable RB here</x:v>
      </x:c>
      <x:c r="H7" s="21" t="str">
        <x:v>6 skill-position starters</x:v>
      </x:c>
    </x:row>
    <x:row r="8" ht="58" hidden="0" customHeight="1">
      <x:c r="A8" s="21" t="str">
        <x:v>7–8</x:v>
      </x:c>
      <x:c r="B8" s="21" t="str">
        <x:v>56 / 57</x:v>
      </x:c>
      <x:c r="C8" s="21" t="str">
        <x:v>Finish core; add premium QB or upside FLEX</x:v>
      </x:c>
      <x:c r="D8" s="21" t="str">
        <x:v>Lamar; Christian Watson</x:v>
      </x:c>
      <x:c r="E8" s="21" t="str">
        <x:v>Drake Maye; Rome; Mike Evans; Montgomery</x:v>
      </x:c>
      <x:c r="F8" s="21" t="str">
        <x:v>One QB total; Loveland checkpoint</x:v>
      </x:c>
      <x:c r="G8" s="21" t="str">
        <x:v>Do not take a second TE or backup QB</x:v>
      </x:c>
      <x:c r="H8" s="21" t="str">
        <x:v>QB/TE mostly solved; 7–8 core players</x:v>
      </x:c>
    </x:row>
    <x:row r="9" ht="58" hidden="0" customHeight="1">
      <x:c r="A9" s="21" t="str">
        <x:v>9–10</x:v>
      </x:c>
      <x:c r="B9" s="21" t="str">
        <x:v>72 / 73</x:v>
      </x:c>
      <x:c r="C9" s="21" t="str">
        <x:v>Attack post-hype and ambiguous roles</x:v>
      </x:c>
      <x:c r="D9" s="21" t="str">
        <x:v>BTJ; Jayden Daniels; Dak</x:v>
      </x:c>
      <x:c r="E9" s="21" t="str">
        <x:v>Pittman; Rico; Pollard; Michael Wilson</x:v>
      </x:c>
      <x:c r="F9" s="21" t="str">
        <x:v>Last preferred QB window</x:v>
      </x:c>
      <x:c r="G9" s="21" t="str">
        <x:v>Do not chase a defense</x:v>
      </x:c>
      <x:c r="H9" s="21" t="str">
        <x:v>9–10 useful players</x:v>
      </x:c>
    </x:row>
    <x:row r="10" ht="58" hidden="0" customHeight="1">
      <x:c r="A10" s="21" t="str">
        <x:v>11–12</x:v>
      </x:c>
      <x:c r="B10" s="21" t="str">
        <x:v>88 / 89</x:v>
      </x:c>
      <x:c r="C10" s="21" t="str">
        <x:v>Value bench with paths to starting</x:v>
      </x:c>
      <x:c r="D10" s="21" t="str">
        <x:v>Josh Downs; Dobbins</x:v>
      </x:c>
      <x:c r="E10" s="21" t="str">
        <x:v>Brooks; Reed; Shakir; Caleb</x:v>
      </x:c>
      <x:c r="F10" s="21" t="str">
        <x:v>Late-QB fallback only</x:v>
      </x:c>
      <x:c r="G10" s="21" t="str">
        <x:v>No floor-only bench receivers</x:v>
      </x:c>
      <x:c r="H10" s="21" t="str">
        <x:v>11–12 RB/WR/QB/TE players</x:v>
      </x:c>
    </x:row>
    <x:row r="11" ht="58" hidden="0" customHeight="1">
      <x:c r="A11" s="21" t="str">
        <x:v>13–14</x:v>
      </x:c>
      <x:c r="B11" s="21" t="str">
        <x:v>104 / 105</x:v>
      </x:c>
      <x:c r="C11" s="21" t="str">
        <x:v>Pure asymmetric bench bets</x:v>
      </x:c>
      <x:c r="D11" s="21" t="str">
        <x:v>Aaron Jones; Xavier Worthy</x:v>
      </x:c>
      <x:c r="E11" s="21" t="str">
        <x:v>Jordan Mason; Corum; Monangai</x:v>
      </x:c>
      <x:c r="F11" s="21" t="str">
        <x:v>No second onesie</x:v>
      </x:c>
      <x:c r="G11" s="21" t="str">
        <x:v>Avoid low-ceiling veterans with no path to role growth</x:v>
      </x:c>
      <x:c r="H11" s="21" t="str">
        <x:v>12 RB/WR total</x:v>
      </x:c>
    </x:row>
    <x:row r="12" ht="58" hidden="0" customHeight="1">
      <x:c r="A12" s="21" t="str">
        <x:v>15–16</x:v>
      </x:c>
      <x:c r="B12" s="21" t="str">
        <x:v>120 / 121</x:v>
      </x:c>
      <x:c r="C12" s="21" t="str">
        <x:v>Close mandatory positions</x:v>
      </x:c>
      <x:c r="D12" s="21" t="str">
        <x:v>Best D/ST; Brandon Aubrey</x:v>
      </x:c>
      <x:c r="E12" s="21" t="str">
        <x:v>Best Week 1 matchup; best remaining K</x:v>
      </x:c>
      <x:c r="F12" s="21" t="str">
        <x:v>Exactly one each</x:v>
      </x:c>
      <x:c r="G12" s="21" t="str">
        <x:v>Never draft either earlier</x:v>
      </x:c>
      <x:c r="H12" s="21" t="str">
        <x:v>Complete roster</x:v>
      </x:c>
    </x:row>
  </x:sheetData>
  <x:mergeCells>
    <x:mergeCell ref="A1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12" hidden="0" customWidth="1"/>
    <x:col min="4" max="4" width="12" hidden="0" customWidth="1"/>
    <x:col min="5" max="5" width="26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3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</x:cols>
  <x:sheetData>
    <x:row r="1">
      <x:c r="A1" s="3" t="str">
        <x:v>LIVE DRAFT TRACKER — ENTER EVERY PICK IN COLUMN E</x:v>
      </x:c>
      <x:c r="B1" s="3"/>
      <x:c r="C1" s="3"/>
      <x:c r="D1" s="3"/>
      <x:c r="E1" s="3"/>
      <x:c r="F1" s="3"/>
      <x:c r="G1" s="3"/>
      <x:c r="H1" s="3"/>
      <x:c r="I1" s="3"/>
      <x:c r="J1" s="3"/>
      <x:c r="L1" s="61" t="str">
        <x:v>MY ROSTER COUNTS</x:v>
      </x:c>
      <x:c r="M1" s="61"/>
      <x:c r="N1" s="61"/>
      <x:c r="O1" s="61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L2" s="27" t="str">
        <x:v>Pos</x:v>
      </x:c>
      <x:c r="M2" s="27" t="str">
        <x:v>Current</x:v>
      </x:c>
      <x:c r="N2" s="27" t="str">
        <x:v>Target</x:v>
      </x:c>
      <x:c r="O2" s="27" t="str">
        <x:v>Status</x:v>
      </x:c>
    </x:row>
    <x:row r="3">
      <x:c r="L3" s="22" t="str">
        <x:v>QB</x:v>
      </x:c>
      <x:c r="M3" s="22" t="n">
        <x:f>COUNTIFS($H$6:$H$133,"YES",$F$6:$F$133,L3)</x:f>
        <x:v>0</x:v>
      </x:c>
      <x:c r="N3" s="22" t="n">
        <x:v>1</x:v>
      </x:c>
      <x:c r="O3" s="22" t="str">
        <x:f>IF(M3=N3,"On plan",IF(M3&lt;N3,"Need "&amp;(N3-M3),"Over by "&amp;(M3-N3)))</x:f>
        <x:v>Need 1</x:v>
      </x:c>
    </x:row>
    <x:row r="4">
      <x:c r="L4" s="22" t="str">
        <x:v>RB</x:v>
      </x:c>
      <x:c r="M4" s="22" t="n">
        <x:f>COUNTIFS($H$6:$H$133,"YES",$F$6:$F$133,L4)</x:f>
        <x:v>0</x:v>
      </x:c>
      <x:c r="N4" s="22" t="n">
        <x:v>6</x:v>
      </x:c>
      <x:c r="O4" s="22" t="str">
        <x:f>IF(M4=N4,"On plan",IF(M4&lt;N4,"Need "&amp;(N4-M4),"Over by "&amp;(M4-N4)))</x:f>
        <x:v>Need 6</x:v>
      </x:c>
    </x:row>
    <x:row r="5">
      <x:c r="A5" s="43" t="str">
        <x:v>Overall</x:v>
      </x:c>
      <x:c r="B5" s="44" t="str">
        <x:v>Round</x:v>
      </x:c>
      <x:c r="C5" s="44" t="str">
        <x:v>Pick in Round</x:v>
      </x:c>
      <x:c r="D5" s="44" t="str">
        <x:v>Manager Slot</x:v>
      </x:c>
      <x:c r="E5" s="44" t="str">
        <x:v>Player</x:v>
      </x:c>
      <x:c r="F5" s="44" t="str">
        <x:v>Pos</x:v>
      </x:c>
      <x:c r="G5" s="44" t="str">
        <x:v>NFL Team</x:v>
      </x:c>
      <x:c r="H5" s="44" t="str">
        <x:v>My Pick?</x:v>
      </x:c>
      <x:c r="I5" s="44" t="str">
        <x:v>Target Signal</x:v>
      </x:c>
      <x:c r="J5" s="45" t="str">
        <x:v>Notes</x:v>
      </x:c>
      <x:c r="L5" s="22" t="str">
        <x:v>WR</x:v>
      </x:c>
      <x:c r="M5" s="22" t="n">
        <x:f>COUNTIFS($H$6:$H$133,"YES",$F$6:$F$133,L5)</x:f>
        <x:v>0</x:v>
      </x:c>
      <x:c r="N5" s="22" t="n">
        <x:v>6</x:v>
      </x:c>
      <x:c r="O5" s="22" t="str">
        <x:f>IF(M5=N5,"On plan",IF(M5&lt;N5,"Need "&amp;(N5-M5),"Over by "&amp;(M5-N5)))</x:f>
        <x:v>Need 6</x:v>
      </x:c>
    </x:row>
    <x:row r="6">
      <x:c r="A6" s="46" t="n">
        <x:v>1</x:v>
      </x:c>
      <x:c r="B6" s="62" t="n">
        <x:v>1</x:v>
      </x:c>
      <x:c r="C6" s="62" t="n">
        <x:v>1</x:v>
      </x:c>
      <x:c r="D6" s="62" t="n">
        <x:v>1</x:v>
      </x:c>
      <x:c r="E6" s="50" t="str"/>
      <x:c r="F6" s="47" t="str">
        <x:f>IFERROR(VLOOKUP(E6,'Player Database'!$A$6:$AH$117,2,FALSE),"")</x:f>
      </x:c>
      <x:c r="G6" s="47" t="str">
        <x:f>IFERROR(VLOOKUP(E6,'Player Database'!$A$6:$AH$117,3,FALSE),"")</x:f>
      </x:c>
      <x:c r="H6" s="47" t="str"/>
      <x:c r="I6" s="47" t="str">
        <x:f>IFERROR(VLOOKUP(E6,'Player Database'!$A$6:$AH$117,20,FALSE),"")</x:f>
      </x:c>
      <x:c r="J6" s="63" t="str"/>
      <x:c r="L6" s="22" t="str">
        <x:v>TE</x:v>
      </x:c>
      <x:c r="M6" s="22" t="n">
        <x:f>COUNTIFS($H$6:$H$133,"YES",$F$6:$F$133,L6)</x:f>
        <x:v>0</x:v>
      </x:c>
      <x:c r="N6" s="22" t="n">
        <x:v>1</x:v>
      </x:c>
      <x:c r="O6" s="22" t="str">
        <x:f>IF(M6=N6,"On plan",IF(M6&lt;N6,"Need "&amp;(N6-M6),"Over by "&amp;(M6-N6)))</x:f>
        <x:v>Need 1</x:v>
      </x:c>
    </x:row>
    <x:row r="7">
      <x:c r="A7" s="46" t="n">
        <x:v>2</x:v>
      </x:c>
      <x:c r="B7" s="62" t="n">
        <x:v>1</x:v>
      </x:c>
      <x:c r="C7" s="62" t="n">
        <x:v>2</x:v>
      </x:c>
      <x:c r="D7" s="62" t="n">
        <x:v>2</x:v>
      </x:c>
      <x:c r="E7" s="50" t="str"/>
      <x:c r="F7" s="47" t="str">
        <x:f>IFERROR(VLOOKUP(E7,'Player Database'!$A$6:$AH$117,2,FALSE),"")</x:f>
      </x:c>
      <x:c r="G7" s="47" t="str">
        <x:f>IFERROR(VLOOKUP(E7,'Player Database'!$A$6:$AH$117,3,FALSE),"")</x:f>
      </x:c>
      <x:c r="H7" s="47" t="str"/>
      <x:c r="I7" s="47" t="str">
        <x:f>IFERROR(VLOOKUP(E7,'Player Database'!$A$6:$AH$117,20,FALSE),"")</x:f>
      </x:c>
      <x:c r="J7" s="63" t="str"/>
      <x:c r="L7" s="22" t="str">
        <x:v>D/ST + K</x:v>
      </x:c>
      <x:c r="M7" s="22" t="n">
        <x:f>COUNTIFS($H$6:$H$133,"YES",$E$6:$E$133,"?*")-SUM(M3:M6)</x:f>
        <x:v>0</x:v>
      </x:c>
      <x:c r="N7" s="22" t="n">
        <x:v>2</x:v>
      </x:c>
      <x:c r="O7" s="22" t="str">
        <x:f>IF(M7=N7,"On plan",IF(M7&lt;N7,"Need "&amp;(N7-M7),"Over by "&amp;(M7-N7)))</x:f>
        <x:v>Need 2</x:v>
      </x:c>
    </x:row>
    <x:row r="8">
      <x:c r="A8" s="46" t="n">
        <x:v>3</x:v>
      </x:c>
      <x:c r="B8" s="62" t="n">
        <x:v>1</x:v>
      </x:c>
      <x:c r="C8" s="62" t="n">
        <x:v>3</x:v>
      </x:c>
      <x:c r="D8" s="62" t="n">
        <x:v>3</x:v>
      </x:c>
      <x:c r="E8" s="50" t="str"/>
      <x:c r="F8" s="47" t="str">
        <x:f>IFERROR(VLOOKUP(E8,'Player Database'!$A$6:$AH$117,2,FALSE),"")</x:f>
      </x:c>
      <x:c r="G8" s="47" t="str">
        <x:f>IFERROR(VLOOKUP(E8,'Player Database'!$A$6:$AH$117,3,FALSE),"")</x:f>
      </x:c>
      <x:c r="H8" s="47" t="str"/>
      <x:c r="I8" s="47" t="str">
        <x:f>IFERROR(VLOOKUP(E8,'Player Database'!$A$6:$AH$117,20,FALSE),"")</x:f>
      </x:c>
      <x:c r="J8" s="63" t="str"/>
    </x:row>
    <x:row r="9">
      <x:c r="A9" s="46" t="n">
        <x:v>4</x:v>
      </x:c>
      <x:c r="B9" s="62" t="n">
        <x:v>1</x:v>
      </x:c>
      <x:c r="C9" s="62" t="n">
        <x:v>4</x:v>
      </x:c>
      <x:c r="D9" s="62" t="n">
        <x:v>4</x:v>
      </x:c>
      <x:c r="E9" s="50" t="str"/>
      <x:c r="F9" s="47" t="str">
        <x:f>IFERROR(VLOOKUP(E9,'Player Database'!$A$6:$AH$117,2,FALSE),"")</x:f>
      </x:c>
      <x:c r="G9" s="47" t="str">
        <x:f>IFERROR(VLOOKUP(E9,'Player Database'!$A$6:$AH$117,3,FALSE),"")</x:f>
      </x:c>
      <x:c r="H9" s="47" t="str"/>
      <x:c r="I9" s="47" t="str">
        <x:f>IFERROR(VLOOKUP(E9,'Player Database'!$A$6:$AH$117,20,FALSE),"")</x:f>
      </x:c>
      <x:c r="J9" s="63" t="str"/>
    </x:row>
    <x:row r="10">
      <x:c r="A10" s="46" t="n">
        <x:v>5</x:v>
      </x:c>
      <x:c r="B10" s="62" t="n">
        <x:v>1</x:v>
      </x:c>
      <x:c r="C10" s="62" t="n">
        <x:v>5</x:v>
      </x:c>
      <x:c r="D10" s="62" t="n">
        <x:v>5</x:v>
      </x:c>
      <x:c r="E10" s="50" t="str"/>
      <x:c r="F10" s="47" t="str">
        <x:f>IFERROR(VLOOKUP(E10,'Player Database'!$A$6:$AH$117,2,FALSE),"")</x:f>
      </x:c>
      <x:c r="G10" s="47" t="str">
        <x:f>IFERROR(VLOOKUP(E10,'Player Database'!$A$6:$AH$117,3,FALSE),"")</x:f>
      </x:c>
      <x:c r="H10" s="47" t="str"/>
      <x:c r="I10" s="47" t="str">
        <x:f>IFERROR(VLOOKUP(E10,'Player Database'!$A$6:$AH$117,20,FALSE),"")</x:f>
      </x:c>
      <x:c r="J10" s="63" t="str"/>
    </x:row>
    <x:row r="11">
      <x:c r="A11" s="46" t="n">
        <x:v>6</x:v>
      </x:c>
      <x:c r="B11" s="62" t="n">
        <x:v>1</x:v>
      </x:c>
      <x:c r="C11" s="62" t="n">
        <x:v>6</x:v>
      </x:c>
      <x:c r="D11" s="62" t="n">
        <x:v>6</x:v>
      </x:c>
      <x:c r="E11" s="50" t="str"/>
      <x:c r="F11" s="47" t="str">
        <x:f>IFERROR(VLOOKUP(E11,'Player Database'!$A$6:$AH$117,2,FALSE),"")</x:f>
      </x:c>
      <x:c r="G11" s="47" t="str">
        <x:f>IFERROR(VLOOKUP(E11,'Player Database'!$A$6:$AH$117,3,FALSE),"")</x:f>
      </x:c>
      <x:c r="H11" s="47" t="str"/>
      <x:c r="I11" s="47" t="str">
        <x:f>IFERROR(VLOOKUP(E11,'Player Database'!$A$6:$AH$117,20,FALSE),"")</x:f>
      </x:c>
      <x:c r="J11" s="63" t="str"/>
    </x:row>
    <x:row r="12">
      <x:c r="A12" s="46" t="n">
        <x:v>7</x:v>
      </x:c>
      <x:c r="B12" s="62" t="n">
        <x:v>1</x:v>
      </x:c>
      <x:c r="C12" s="62" t="n">
        <x:v>7</x:v>
      </x:c>
      <x:c r="D12" s="62" t="n">
        <x:v>7</x:v>
      </x:c>
      <x:c r="E12" s="50" t="str"/>
      <x:c r="F12" s="47" t="str">
        <x:f>IFERROR(VLOOKUP(E12,'Player Database'!$A$6:$AH$117,2,FALSE),"")</x:f>
      </x:c>
      <x:c r="G12" s="47" t="str">
        <x:f>IFERROR(VLOOKUP(E12,'Player Database'!$A$6:$AH$117,3,FALSE),"")</x:f>
      </x:c>
      <x:c r="H12" s="47" t="str"/>
      <x:c r="I12" s="47" t="str">
        <x:f>IFERROR(VLOOKUP(E12,'Player Database'!$A$6:$AH$117,20,FALSE),"")</x:f>
      </x:c>
      <x:c r="J12" s="63" t="str"/>
    </x:row>
    <x:row r="13">
      <x:c r="A13" s="46" t="n">
        <x:v>8</x:v>
      </x:c>
      <x:c r="B13" s="62" t="n">
        <x:v>1</x:v>
      </x:c>
      <x:c r="C13" s="62" t="n">
        <x:v>8</x:v>
      </x:c>
      <x:c r="D13" s="62" t="n">
        <x:v>8</x:v>
      </x:c>
      <x:c r="E13" s="50" t="str"/>
      <x:c r="F13" s="47" t="str">
        <x:f>IFERROR(VLOOKUP(E13,'Player Database'!$A$6:$AH$117,2,FALSE),"")</x:f>
      </x:c>
      <x:c r="G13" s="47" t="str">
        <x:f>IFERROR(VLOOKUP(E13,'Player Database'!$A$6:$AH$117,3,FALSE),"")</x:f>
      </x:c>
      <x:c r="H13" s="47" t="str">
        <x:v>YES</x:v>
      </x:c>
      <x:c r="I13" s="47" t="str">
        <x:f>IFERROR(VLOOKUP(E13,'Player Database'!$A$6:$AH$117,20,FALSE),"")</x:f>
      </x:c>
      <x:c r="J13" s="63" t="str"/>
    </x:row>
    <x:row r="14">
      <x:c r="A14" s="46" t="n">
        <x:v>9</x:v>
      </x:c>
      <x:c r="B14" s="62" t="n">
        <x:v>2</x:v>
      </x:c>
      <x:c r="C14" s="62" t="n">
        <x:v>1</x:v>
      </x:c>
      <x:c r="D14" s="62" t="n">
        <x:v>8</x:v>
      </x:c>
      <x:c r="E14" s="50" t="str"/>
      <x:c r="F14" s="47" t="str">
        <x:f>IFERROR(VLOOKUP(E14,'Player Database'!$A$6:$AH$117,2,FALSE),"")</x:f>
      </x:c>
      <x:c r="G14" s="47" t="str">
        <x:f>IFERROR(VLOOKUP(E14,'Player Database'!$A$6:$AH$117,3,FALSE),"")</x:f>
      </x:c>
      <x:c r="H14" s="47" t="str">
        <x:v>YES</x:v>
      </x:c>
      <x:c r="I14" s="47" t="str">
        <x:f>IFERROR(VLOOKUP(E14,'Player Database'!$A$6:$AH$117,20,FALSE),"")</x:f>
      </x:c>
      <x:c r="J14" s="63" t="str"/>
    </x:row>
    <x:row r="15">
      <x:c r="A15" s="46" t="n">
        <x:v>10</x:v>
      </x:c>
      <x:c r="B15" s="62" t="n">
        <x:v>2</x:v>
      </x:c>
      <x:c r="C15" s="62" t="n">
        <x:v>2</x:v>
      </x:c>
      <x:c r="D15" s="62" t="n">
        <x:v>7</x:v>
      </x:c>
      <x:c r="E15" s="50" t="str"/>
      <x:c r="F15" s="47" t="str">
        <x:f>IFERROR(VLOOKUP(E15,'Player Database'!$A$6:$AH$117,2,FALSE),"")</x:f>
      </x:c>
      <x:c r="G15" s="47" t="str">
        <x:f>IFERROR(VLOOKUP(E15,'Player Database'!$A$6:$AH$117,3,FALSE),"")</x:f>
      </x:c>
      <x:c r="H15" s="47" t="str"/>
      <x:c r="I15" s="47" t="str">
        <x:f>IFERROR(VLOOKUP(E15,'Player Database'!$A$6:$AH$117,20,FALSE),"")</x:f>
      </x:c>
      <x:c r="J15" s="63" t="str"/>
    </x:row>
    <x:row r="16">
      <x:c r="A16" s="46" t="n">
        <x:v>11</x:v>
      </x:c>
      <x:c r="B16" s="62" t="n">
        <x:v>2</x:v>
      </x:c>
      <x:c r="C16" s="62" t="n">
        <x:v>3</x:v>
      </x:c>
      <x:c r="D16" s="62" t="n">
        <x:v>6</x:v>
      </x:c>
      <x:c r="E16" s="50" t="str"/>
      <x:c r="F16" s="47" t="str">
        <x:f>IFERROR(VLOOKUP(E16,'Player Database'!$A$6:$AH$117,2,FALSE),"")</x:f>
      </x:c>
      <x:c r="G16" s="47" t="str">
        <x:f>IFERROR(VLOOKUP(E16,'Player Database'!$A$6:$AH$117,3,FALSE),"")</x:f>
      </x:c>
      <x:c r="H16" s="47" t="str"/>
      <x:c r="I16" s="47" t="str">
        <x:f>IFERROR(VLOOKUP(E16,'Player Database'!$A$6:$AH$117,20,FALSE),"")</x:f>
      </x:c>
      <x:c r="J16" s="63" t="str"/>
    </x:row>
    <x:row r="17">
      <x:c r="A17" s="46" t="n">
        <x:v>12</x:v>
      </x:c>
      <x:c r="B17" s="62" t="n">
        <x:v>2</x:v>
      </x:c>
      <x:c r="C17" s="62" t="n">
        <x:v>4</x:v>
      </x:c>
      <x:c r="D17" s="62" t="n">
        <x:v>5</x:v>
      </x:c>
      <x:c r="E17" s="50" t="str"/>
      <x:c r="F17" s="47" t="str">
        <x:f>IFERROR(VLOOKUP(E17,'Player Database'!$A$6:$AH$117,2,FALSE),"")</x:f>
      </x:c>
      <x:c r="G17" s="47" t="str">
        <x:f>IFERROR(VLOOKUP(E17,'Player Database'!$A$6:$AH$117,3,FALSE),"")</x:f>
      </x:c>
      <x:c r="H17" s="47" t="str"/>
      <x:c r="I17" s="47" t="str">
        <x:f>IFERROR(VLOOKUP(E17,'Player Database'!$A$6:$AH$117,20,FALSE),"")</x:f>
      </x:c>
      <x:c r="J17" s="63" t="str"/>
    </x:row>
    <x:row r="18">
      <x:c r="A18" s="46" t="n">
        <x:v>13</x:v>
      </x:c>
      <x:c r="B18" s="62" t="n">
        <x:v>2</x:v>
      </x:c>
      <x:c r="C18" s="62" t="n">
        <x:v>5</x:v>
      </x:c>
      <x:c r="D18" s="62" t="n">
        <x:v>4</x:v>
      </x:c>
      <x:c r="E18" s="50" t="str"/>
      <x:c r="F18" s="47" t="str">
        <x:f>IFERROR(VLOOKUP(E18,'Player Database'!$A$6:$AH$117,2,FALSE),"")</x:f>
      </x:c>
      <x:c r="G18" s="47" t="str">
        <x:f>IFERROR(VLOOKUP(E18,'Player Database'!$A$6:$AH$117,3,FALSE),"")</x:f>
      </x:c>
      <x:c r="H18" s="47" t="str"/>
      <x:c r="I18" s="47" t="str">
        <x:f>IFERROR(VLOOKUP(E18,'Player Database'!$A$6:$AH$117,20,FALSE),"")</x:f>
      </x:c>
      <x:c r="J18" s="63" t="str"/>
    </x:row>
    <x:row r="19">
      <x:c r="A19" s="46" t="n">
        <x:v>14</x:v>
      </x:c>
      <x:c r="B19" s="62" t="n">
        <x:v>2</x:v>
      </x:c>
      <x:c r="C19" s="62" t="n">
        <x:v>6</x:v>
      </x:c>
      <x:c r="D19" s="62" t="n">
        <x:v>3</x:v>
      </x:c>
      <x:c r="E19" s="50" t="str"/>
      <x:c r="F19" s="47" t="str">
        <x:f>IFERROR(VLOOKUP(E19,'Player Database'!$A$6:$AH$117,2,FALSE),"")</x:f>
      </x:c>
      <x:c r="G19" s="47" t="str">
        <x:f>IFERROR(VLOOKUP(E19,'Player Database'!$A$6:$AH$117,3,FALSE),"")</x:f>
      </x:c>
      <x:c r="H19" s="47" t="str"/>
      <x:c r="I19" s="47" t="str">
        <x:f>IFERROR(VLOOKUP(E19,'Player Database'!$A$6:$AH$117,20,FALSE),"")</x:f>
      </x:c>
      <x:c r="J19" s="63" t="str"/>
    </x:row>
    <x:row r="20">
      <x:c r="A20" s="46" t="n">
        <x:v>15</x:v>
      </x:c>
      <x:c r="B20" s="62" t="n">
        <x:v>2</x:v>
      </x:c>
      <x:c r="C20" s="62" t="n">
        <x:v>7</x:v>
      </x:c>
      <x:c r="D20" s="62" t="n">
        <x:v>2</x:v>
      </x:c>
      <x:c r="E20" s="50" t="str"/>
      <x:c r="F20" s="47" t="str">
        <x:f>IFERROR(VLOOKUP(E20,'Player Database'!$A$6:$AH$117,2,FALSE),"")</x:f>
      </x:c>
      <x:c r="G20" s="47" t="str">
        <x:f>IFERROR(VLOOKUP(E20,'Player Database'!$A$6:$AH$117,3,FALSE),"")</x:f>
      </x:c>
      <x:c r="H20" s="47" t="str"/>
      <x:c r="I20" s="47" t="str">
        <x:f>IFERROR(VLOOKUP(E20,'Player Database'!$A$6:$AH$117,20,FALSE),"")</x:f>
      </x:c>
      <x:c r="J20" s="63" t="str"/>
    </x:row>
    <x:row r="21">
      <x:c r="A21" s="46" t="n">
        <x:v>16</x:v>
      </x:c>
      <x:c r="B21" s="62" t="n">
        <x:v>2</x:v>
      </x:c>
      <x:c r="C21" s="62" t="n">
        <x:v>8</x:v>
      </x:c>
      <x:c r="D21" s="62" t="n">
        <x:v>1</x:v>
      </x:c>
      <x:c r="E21" s="50" t="str"/>
      <x:c r="F21" s="47" t="str">
        <x:f>IFERROR(VLOOKUP(E21,'Player Database'!$A$6:$AH$117,2,FALSE),"")</x:f>
      </x:c>
      <x:c r="G21" s="47" t="str">
        <x:f>IFERROR(VLOOKUP(E21,'Player Database'!$A$6:$AH$117,3,FALSE),"")</x:f>
      </x:c>
      <x:c r="H21" s="47" t="str"/>
      <x:c r="I21" s="47" t="str">
        <x:f>IFERROR(VLOOKUP(E21,'Player Database'!$A$6:$AH$117,20,FALSE),"")</x:f>
      </x:c>
      <x:c r="J21" s="63" t="str"/>
    </x:row>
    <x:row r="22">
      <x:c r="A22" s="46" t="n">
        <x:v>17</x:v>
      </x:c>
      <x:c r="B22" s="62" t="n">
        <x:v>3</x:v>
      </x:c>
      <x:c r="C22" s="62" t="n">
        <x:v>1</x:v>
      </x:c>
      <x:c r="D22" s="62" t="n">
        <x:v>1</x:v>
      </x:c>
      <x:c r="E22" s="50" t="str"/>
      <x:c r="F22" s="47" t="str">
        <x:f>IFERROR(VLOOKUP(E22,'Player Database'!$A$6:$AH$117,2,FALSE),"")</x:f>
      </x:c>
      <x:c r="G22" s="47" t="str">
        <x:f>IFERROR(VLOOKUP(E22,'Player Database'!$A$6:$AH$117,3,FALSE),"")</x:f>
      </x:c>
      <x:c r="H22" s="47" t="str"/>
      <x:c r="I22" s="47" t="str">
        <x:f>IFERROR(VLOOKUP(E22,'Player Database'!$A$6:$AH$117,20,FALSE),"")</x:f>
      </x:c>
      <x:c r="J22" s="63" t="str"/>
    </x:row>
    <x:row r="23">
      <x:c r="A23" s="46" t="n">
        <x:v>18</x:v>
      </x:c>
      <x:c r="B23" s="62" t="n">
        <x:v>3</x:v>
      </x:c>
      <x:c r="C23" s="62" t="n">
        <x:v>2</x:v>
      </x:c>
      <x:c r="D23" s="62" t="n">
        <x:v>2</x:v>
      </x:c>
      <x:c r="E23" s="50" t="str"/>
      <x:c r="F23" s="47" t="str">
        <x:f>IFERROR(VLOOKUP(E23,'Player Database'!$A$6:$AH$117,2,FALSE),"")</x:f>
      </x:c>
      <x:c r="G23" s="47" t="str">
        <x:f>IFERROR(VLOOKUP(E23,'Player Database'!$A$6:$AH$117,3,FALSE),"")</x:f>
      </x:c>
      <x:c r="H23" s="47" t="str"/>
      <x:c r="I23" s="47" t="str">
        <x:f>IFERROR(VLOOKUP(E23,'Player Database'!$A$6:$AH$117,20,FALSE),"")</x:f>
      </x:c>
      <x:c r="J23" s="63" t="str"/>
    </x:row>
    <x:row r="24">
      <x:c r="A24" s="46" t="n">
        <x:v>19</x:v>
      </x:c>
      <x:c r="B24" s="62" t="n">
        <x:v>3</x:v>
      </x:c>
      <x:c r="C24" s="62" t="n">
        <x:v>3</x:v>
      </x:c>
      <x:c r="D24" s="62" t="n">
        <x:v>3</x:v>
      </x:c>
      <x:c r="E24" s="50" t="str"/>
      <x:c r="F24" s="47" t="str">
        <x:f>IFERROR(VLOOKUP(E24,'Player Database'!$A$6:$AH$117,2,FALSE),"")</x:f>
      </x:c>
      <x:c r="G24" s="47" t="str">
        <x:f>IFERROR(VLOOKUP(E24,'Player Database'!$A$6:$AH$117,3,FALSE),"")</x:f>
      </x:c>
      <x:c r="H24" s="47" t="str"/>
      <x:c r="I24" s="47" t="str">
        <x:f>IFERROR(VLOOKUP(E24,'Player Database'!$A$6:$AH$117,20,FALSE),"")</x:f>
      </x:c>
      <x:c r="J24" s="63" t="str"/>
    </x:row>
    <x:row r="25">
      <x:c r="A25" s="46" t="n">
        <x:v>20</x:v>
      </x:c>
      <x:c r="B25" s="62" t="n">
        <x:v>3</x:v>
      </x:c>
      <x:c r="C25" s="62" t="n">
        <x:v>4</x:v>
      </x:c>
      <x:c r="D25" s="62" t="n">
        <x:v>4</x:v>
      </x:c>
      <x:c r="E25" s="50" t="str"/>
      <x:c r="F25" s="47" t="str">
        <x:f>IFERROR(VLOOKUP(E25,'Player Database'!$A$6:$AH$117,2,FALSE),"")</x:f>
      </x:c>
      <x:c r="G25" s="47" t="str">
        <x:f>IFERROR(VLOOKUP(E25,'Player Database'!$A$6:$AH$117,3,FALSE),"")</x:f>
      </x:c>
      <x:c r="H25" s="47" t="str"/>
      <x:c r="I25" s="47" t="str">
        <x:f>IFERROR(VLOOKUP(E25,'Player Database'!$A$6:$AH$117,20,FALSE),"")</x:f>
      </x:c>
      <x:c r="J25" s="63" t="str"/>
    </x:row>
    <x:row r="26">
      <x:c r="A26" s="46" t="n">
        <x:v>21</x:v>
      </x:c>
      <x:c r="B26" s="62" t="n">
        <x:v>3</x:v>
      </x:c>
      <x:c r="C26" s="62" t="n">
        <x:v>5</x:v>
      </x:c>
      <x:c r="D26" s="62" t="n">
        <x:v>5</x:v>
      </x:c>
      <x:c r="E26" s="50" t="str"/>
      <x:c r="F26" s="47" t="str">
        <x:f>IFERROR(VLOOKUP(E26,'Player Database'!$A$6:$AH$117,2,FALSE),"")</x:f>
      </x:c>
      <x:c r="G26" s="47" t="str">
        <x:f>IFERROR(VLOOKUP(E26,'Player Database'!$A$6:$AH$117,3,FALSE),"")</x:f>
      </x:c>
      <x:c r="H26" s="47" t="str"/>
      <x:c r="I26" s="47" t="str">
        <x:f>IFERROR(VLOOKUP(E26,'Player Database'!$A$6:$AH$117,20,FALSE),"")</x:f>
      </x:c>
      <x:c r="J26" s="63" t="str"/>
    </x:row>
    <x:row r="27">
      <x:c r="A27" s="46" t="n">
        <x:v>22</x:v>
      </x:c>
      <x:c r="B27" s="62" t="n">
        <x:v>3</x:v>
      </x:c>
      <x:c r="C27" s="62" t="n">
        <x:v>6</x:v>
      </x:c>
      <x:c r="D27" s="62" t="n">
        <x:v>6</x:v>
      </x:c>
      <x:c r="E27" s="50" t="str"/>
      <x:c r="F27" s="47" t="str">
        <x:f>IFERROR(VLOOKUP(E27,'Player Database'!$A$6:$AH$117,2,FALSE),"")</x:f>
      </x:c>
      <x:c r="G27" s="47" t="str">
        <x:f>IFERROR(VLOOKUP(E27,'Player Database'!$A$6:$AH$117,3,FALSE),"")</x:f>
      </x:c>
      <x:c r="H27" s="47" t="str"/>
      <x:c r="I27" s="47" t="str">
        <x:f>IFERROR(VLOOKUP(E27,'Player Database'!$A$6:$AH$117,20,FALSE),"")</x:f>
      </x:c>
      <x:c r="J27" s="63" t="str"/>
    </x:row>
    <x:row r="28">
      <x:c r="A28" s="46" t="n">
        <x:v>23</x:v>
      </x:c>
      <x:c r="B28" s="62" t="n">
        <x:v>3</x:v>
      </x:c>
      <x:c r="C28" s="62" t="n">
        <x:v>7</x:v>
      </x:c>
      <x:c r="D28" s="62" t="n">
        <x:v>7</x:v>
      </x:c>
      <x:c r="E28" s="50" t="str"/>
      <x:c r="F28" s="47" t="str">
        <x:f>IFERROR(VLOOKUP(E28,'Player Database'!$A$6:$AH$117,2,FALSE),"")</x:f>
      </x:c>
      <x:c r="G28" s="47" t="str">
        <x:f>IFERROR(VLOOKUP(E28,'Player Database'!$A$6:$AH$117,3,FALSE),"")</x:f>
      </x:c>
      <x:c r="H28" s="47" t="str"/>
      <x:c r="I28" s="47" t="str">
        <x:f>IFERROR(VLOOKUP(E28,'Player Database'!$A$6:$AH$117,20,FALSE),"")</x:f>
      </x:c>
      <x:c r="J28" s="63" t="str"/>
    </x:row>
    <x:row r="29">
      <x:c r="A29" s="46" t="n">
        <x:v>24</x:v>
      </x:c>
      <x:c r="B29" s="62" t="n">
        <x:v>3</x:v>
      </x:c>
      <x:c r="C29" s="62" t="n">
        <x:v>8</x:v>
      </x:c>
      <x:c r="D29" s="62" t="n">
        <x:v>8</x:v>
      </x:c>
      <x:c r="E29" s="50" t="str"/>
      <x:c r="F29" s="47" t="str">
        <x:f>IFERROR(VLOOKUP(E29,'Player Database'!$A$6:$AH$117,2,FALSE),"")</x:f>
      </x:c>
      <x:c r="G29" s="47" t="str">
        <x:f>IFERROR(VLOOKUP(E29,'Player Database'!$A$6:$AH$117,3,FALSE),"")</x:f>
      </x:c>
      <x:c r="H29" s="47" t="str">
        <x:v>YES</x:v>
      </x:c>
      <x:c r="I29" s="47" t="str">
        <x:f>IFERROR(VLOOKUP(E29,'Player Database'!$A$6:$AH$117,20,FALSE),"")</x:f>
      </x:c>
      <x:c r="J29" s="63" t="str"/>
    </x:row>
    <x:row r="30">
      <x:c r="A30" s="46" t="n">
        <x:v>25</x:v>
      </x:c>
      <x:c r="B30" s="62" t="n">
        <x:v>4</x:v>
      </x:c>
      <x:c r="C30" s="62" t="n">
        <x:v>1</x:v>
      </x:c>
      <x:c r="D30" s="62" t="n">
        <x:v>8</x:v>
      </x:c>
      <x:c r="E30" s="50" t="str"/>
      <x:c r="F30" s="47" t="str">
        <x:f>IFERROR(VLOOKUP(E30,'Player Database'!$A$6:$AH$117,2,FALSE),"")</x:f>
      </x:c>
      <x:c r="G30" s="47" t="str">
        <x:f>IFERROR(VLOOKUP(E30,'Player Database'!$A$6:$AH$117,3,FALSE),"")</x:f>
      </x:c>
      <x:c r="H30" s="47" t="str">
        <x:v>YES</x:v>
      </x:c>
      <x:c r="I30" s="47" t="str">
        <x:f>IFERROR(VLOOKUP(E30,'Player Database'!$A$6:$AH$117,20,FALSE),"")</x:f>
      </x:c>
      <x:c r="J30" s="63" t="str"/>
    </x:row>
    <x:row r="31">
      <x:c r="A31" s="46" t="n">
        <x:v>26</x:v>
      </x:c>
      <x:c r="B31" s="62" t="n">
        <x:v>4</x:v>
      </x:c>
      <x:c r="C31" s="62" t="n">
        <x:v>2</x:v>
      </x:c>
      <x:c r="D31" s="62" t="n">
        <x:v>7</x:v>
      </x:c>
      <x:c r="E31" s="50" t="str"/>
      <x:c r="F31" s="47" t="str">
        <x:f>IFERROR(VLOOKUP(E31,'Player Database'!$A$6:$AH$117,2,FALSE),"")</x:f>
      </x:c>
      <x:c r="G31" s="47" t="str">
        <x:f>IFERROR(VLOOKUP(E31,'Player Database'!$A$6:$AH$117,3,FALSE),"")</x:f>
      </x:c>
      <x:c r="H31" s="47" t="str"/>
      <x:c r="I31" s="47" t="str">
        <x:f>IFERROR(VLOOKUP(E31,'Player Database'!$A$6:$AH$117,20,FALSE),"")</x:f>
      </x:c>
      <x:c r="J31" s="63" t="str"/>
    </x:row>
    <x:row r="32">
      <x:c r="A32" s="46" t="n">
        <x:v>27</x:v>
      </x:c>
      <x:c r="B32" s="62" t="n">
        <x:v>4</x:v>
      </x:c>
      <x:c r="C32" s="62" t="n">
        <x:v>3</x:v>
      </x:c>
      <x:c r="D32" s="62" t="n">
        <x:v>6</x:v>
      </x:c>
      <x:c r="E32" s="50" t="str"/>
      <x:c r="F32" s="47" t="str">
        <x:f>IFERROR(VLOOKUP(E32,'Player Database'!$A$6:$AH$117,2,FALSE),"")</x:f>
      </x:c>
      <x:c r="G32" s="47" t="str">
        <x:f>IFERROR(VLOOKUP(E32,'Player Database'!$A$6:$AH$117,3,FALSE),"")</x:f>
      </x:c>
      <x:c r="H32" s="47" t="str"/>
      <x:c r="I32" s="47" t="str">
        <x:f>IFERROR(VLOOKUP(E32,'Player Database'!$A$6:$AH$117,20,FALSE),"")</x:f>
      </x:c>
      <x:c r="J32" s="63" t="str"/>
    </x:row>
    <x:row r="33">
      <x:c r="A33" s="46" t="n">
        <x:v>28</x:v>
      </x:c>
      <x:c r="B33" s="62" t="n">
        <x:v>4</x:v>
      </x:c>
      <x:c r="C33" s="62" t="n">
        <x:v>4</x:v>
      </x:c>
      <x:c r="D33" s="62" t="n">
        <x:v>5</x:v>
      </x:c>
      <x:c r="E33" s="50" t="str"/>
      <x:c r="F33" s="47" t="str">
        <x:f>IFERROR(VLOOKUP(E33,'Player Database'!$A$6:$AH$117,2,FALSE),"")</x:f>
      </x:c>
      <x:c r="G33" s="47" t="str">
        <x:f>IFERROR(VLOOKUP(E33,'Player Database'!$A$6:$AH$117,3,FALSE),"")</x:f>
      </x:c>
      <x:c r="H33" s="47" t="str"/>
      <x:c r="I33" s="47" t="str">
        <x:f>IFERROR(VLOOKUP(E33,'Player Database'!$A$6:$AH$117,20,FALSE),"")</x:f>
      </x:c>
      <x:c r="J33" s="63" t="str"/>
    </x:row>
    <x:row r="34">
      <x:c r="A34" s="46" t="n">
        <x:v>29</x:v>
      </x:c>
      <x:c r="B34" s="62" t="n">
        <x:v>4</x:v>
      </x:c>
      <x:c r="C34" s="62" t="n">
        <x:v>5</x:v>
      </x:c>
      <x:c r="D34" s="62" t="n">
        <x:v>4</x:v>
      </x:c>
      <x:c r="E34" s="50" t="str"/>
      <x:c r="F34" s="47" t="str">
        <x:f>IFERROR(VLOOKUP(E34,'Player Database'!$A$6:$AH$117,2,FALSE),"")</x:f>
      </x:c>
      <x:c r="G34" s="47" t="str">
        <x:f>IFERROR(VLOOKUP(E34,'Player Database'!$A$6:$AH$117,3,FALSE),"")</x:f>
      </x:c>
      <x:c r="H34" s="47" t="str"/>
      <x:c r="I34" s="47" t="str">
        <x:f>IFERROR(VLOOKUP(E34,'Player Database'!$A$6:$AH$117,20,FALSE),"")</x:f>
      </x:c>
      <x:c r="J34" s="63" t="str"/>
    </x:row>
    <x:row r="35">
      <x:c r="A35" s="46" t="n">
        <x:v>30</x:v>
      </x:c>
      <x:c r="B35" s="62" t="n">
        <x:v>4</x:v>
      </x:c>
      <x:c r="C35" s="62" t="n">
        <x:v>6</x:v>
      </x:c>
      <x:c r="D35" s="62" t="n">
        <x:v>3</x:v>
      </x:c>
      <x:c r="E35" s="50" t="str"/>
      <x:c r="F35" s="47" t="str">
        <x:f>IFERROR(VLOOKUP(E35,'Player Database'!$A$6:$AH$117,2,FALSE),"")</x:f>
      </x:c>
      <x:c r="G35" s="47" t="str">
        <x:f>IFERROR(VLOOKUP(E35,'Player Database'!$A$6:$AH$117,3,FALSE),"")</x:f>
      </x:c>
      <x:c r="H35" s="47" t="str"/>
      <x:c r="I35" s="47" t="str">
        <x:f>IFERROR(VLOOKUP(E35,'Player Database'!$A$6:$AH$117,20,FALSE),"")</x:f>
      </x:c>
      <x:c r="J35" s="63" t="str"/>
    </x:row>
    <x:row r="36">
      <x:c r="A36" s="46" t="n">
        <x:v>31</x:v>
      </x:c>
      <x:c r="B36" s="62" t="n">
        <x:v>4</x:v>
      </x:c>
      <x:c r="C36" s="62" t="n">
        <x:v>7</x:v>
      </x:c>
      <x:c r="D36" s="62" t="n">
        <x:v>2</x:v>
      </x:c>
      <x:c r="E36" s="50" t="str"/>
      <x:c r="F36" s="47" t="str">
        <x:f>IFERROR(VLOOKUP(E36,'Player Database'!$A$6:$AH$117,2,FALSE),"")</x:f>
      </x:c>
      <x:c r="G36" s="47" t="str">
        <x:f>IFERROR(VLOOKUP(E36,'Player Database'!$A$6:$AH$117,3,FALSE),"")</x:f>
      </x:c>
      <x:c r="H36" s="47" t="str"/>
      <x:c r="I36" s="47" t="str">
        <x:f>IFERROR(VLOOKUP(E36,'Player Database'!$A$6:$AH$117,20,FALSE),"")</x:f>
      </x:c>
      <x:c r="J36" s="63" t="str"/>
    </x:row>
    <x:row r="37">
      <x:c r="A37" s="46" t="n">
        <x:v>32</x:v>
      </x:c>
      <x:c r="B37" s="62" t="n">
        <x:v>4</x:v>
      </x:c>
      <x:c r="C37" s="62" t="n">
        <x:v>8</x:v>
      </x:c>
      <x:c r="D37" s="62" t="n">
        <x:v>1</x:v>
      </x:c>
      <x:c r="E37" s="50" t="str"/>
      <x:c r="F37" s="47" t="str">
        <x:f>IFERROR(VLOOKUP(E37,'Player Database'!$A$6:$AH$117,2,FALSE),"")</x:f>
      </x:c>
      <x:c r="G37" s="47" t="str">
        <x:f>IFERROR(VLOOKUP(E37,'Player Database'!$A$6:$AH$117,3,FALSE),"")</x:f>
      </x:c>
      <x:c r="H37" s="47" t="str"/>
      <x:c r="I37" s="47" t="str">
        <x:f>IFERROR(VLOOKUP(E37,'Player Database'!$A$6:$AH$117,20,FALSE),"")</x:f>
      </x:c>
      <x:c r="J37" s="63" t="str"/>
    </x:row>
    <x:row r="38">
      <x:c r="A38" s="46" t="n">
        <x:v>33</x:v>
      </x:c>
      <x:c r="B38" s="62" t="n">
        <x:v>5</x:v>
      </x:c>
      <x:c r="C38" s="62" t="n">
        <x:v>1</x:v>
      </x:c>
      <x:c r="D38" s="62" t="n">
        <x:v>1</x:v>
      </x:c>
      <x:c r="E38" s="50" t="str"/>
      <x:c r="F38" s="47" t="str">
        <x:f>IFERROR(VLOOKUP(E38,'Player Database'!$A$6:$AH$117,2,FALSE),"")</x:f>
      </x:c>
      <x:c r="G38" s="47" t="str">
        <x:f>IFERROR(VLOOKUP(E38,'Player Database'!$A$6:$AH$117,3,FALSE),"")</x:f>
      </x:c>
      <x:c r="H38" s="47" t="str"/>
      <x:c r="I38" s="47" t="str">
        <x:f>IFERROR(VLOOKUP(E38,'Player Database'!$A$6:$AH$117,20,FALSE),"")</x:f>
      </x:c>
      <x:c r="J38" s="63" t="str"/>
    </x:row>
    <x:row r="39">
      <x:c r="A39" s="46" t="n">
        <x:v>34</x:v>
      </x:c>
      <x:c r="B39" s="62" t="n">
        <x:v>5</x:v>
      </x:c>
      <x:c r="C39" s="62" t="n">
        <x:v>2</x:v>
      </x:c>
      <x:c r="D39" s="62" t="n">
        <x:v>2</x:v>
      </x:c>
      <x:c r="E39" s="50" t="str"/>
      <x:c r="F39" s="47" t="str">
        <x:f>IFERROR(VLOOKUP(E39,'Player Database'!$A$6:$AH$117,2,FALSE),"")</x:f>
      </x:c>
      <x:c r="G39" s="47" t="str">
        <x:f>IFERROR(VLOOKUP(E39,'Player Database'!$A$6:$AH$117,3,FALSE),"")</x:f>
      </x:c>
      <x:c r="H39" s="47" t="str"/>
      <x:c r="I39" s="47" t="str">
        <x:f>IFERROR(VLOOKUP(E39,'Player Database'!$A$6:$AH$117,20,FALSE),"")</x:f>
      </x:c>
      <x:c r="J39" s="63" t="str"/>
    </x:row>
    <x:row r="40">
      <x:c r="A40" s="46" t="n">
        <x:v>35</x:v>
      </x:c>
      <x:c r="B40" s="62" t="n">
        <x:v>5</x:v>
      </x:c>
      <x:c r="C40" s="62" t="n">
        <x:v>3</x:v>
      </x:c>
      <x:c r="D40" s="62" t="n">
        <x:v>3</x:v>
      </x:c>
      <x:c r="E40" s="50" t="str"/>
      <x:c r="F40" s="47" t="str">
        <x:f>IFERROR(VLOOKUP(E40,'Player Database'!$A$6:$AH$117,2,FALSE),"")</x:f>
      </x:c>
      <x:c r="G40" s="47" t="str">
        <x:f>IFERROR(VLOOKUP(E40,'Player Database'!$A$6:$AH$117,3,FALSE),"")</x:f>
      </x:c>
      <x:c r="H40" s="47" t="str"/>
      <x:c r="I40" s="47" t="str">
        <x:f>IFERROR(VLOOKUP(E40,'Player Database'!$A$6:$AH$117,20,FALSE),"")</x:f>
      </x:c>
      <x:c r="J40" s="63" t="str"/>
    </x:row>
    <x:row r="41">
      <x:c r="A41" s="46" t="n">
        <x:v>36</x:v>
      </x:c>
      <x:c r="B41" s="62" t="n">
        <x:v>5</x:v>
      </x:c>
      <x:c r="C41" s="62" t="n">
        <x:v>4</x:v>
      </x:c>
      <x:c r="D41" s="62" t="n">
        <x:v>4</x:v>
      </x:c>
      <x:c r="E41" s="50" t="str"/>
      <x:c r="F41" s="47" t="str">
        <x:f>IFERROR(VLOOKUP(E41,'Player Database'!$A$6:$AH$117,2,FALSE),"")</x:f>
      </x:c>
      <x:c r="G41" s="47" t="str">
        <x:f>IFERROR(VLOOKUP(E41,'Player Database'!$A$6:$AH$117,3,FALSE),"")</x:f>
      </x:c>
      <x:c r="H41" s="47" t="str"/>
      <x:c r="I41" s="47" t="str">
        <x:f>IFERROR(VLOOKUP(E41,'Player Database'!$A$6:$AH$117,20,FALSE),"")</x:f>
      </x:c>
      <x:c r="J41" s="63" t="str"/>
    </x:row>
    <x:row r="42">
      <x:c r="A42" s="46" t="n">
        <x:v>37</x:v>
      </x:c>
      <x:c r="B42" s="62" t="n">
        <x:v>5</x:v>
      </x:c>
      <x:c r="C42" s="62" t="n">
        <x:v>5</x:v>
      </x:c>
      <x:c r="D42" s="62" t="n">
        <x:v>5</x:v>
      </x:c>
      <x:c r="E42" s="50" t="str"/>
      <x:c r="F42" s="47" t="str">
        <x:f>IFERROR(VLOOKUP(E42,'Player Database'!$A$6:$AH$117,2,FALSE),"")</x:f>
      </x:c>
      <x:c r="G42" s="47" t="str">
        <x:f>IFERROR(VLOOKUP(E42,'Player Database'!$A$6:$AH$117,3,FALSE),"")</x:f>
      </x:c>
      <x:c r="H42" s="47" t="str"/>
      <x:c r="I42" s="47" t="str">
        <x:f>IFERROR(VLOOKUP(E42,'Player Database'!$A$6:$AH$117,20,FALSE),"")</x:f>
      </x:c>
      <x:c r="J42" s="63" t="str"/>
    </x:row>
    <x:row r="43">
      <x:c r="A43" s="46" t="n">
        <x:v>38</x:v>
      </x:c>
      <x:c r="B43" s="62" t="n">
        <x:v>5</x:v>
      </x:c>
      <x:c r="C43" s="62" t="n">
        <x:v>6</x:v>
      </x:c>
      <x:c r="D43" s="62" t="n">
        <x:v>6</x:v>
      </x:c>
      <x:c r="E43" s="50" t="str"/>
      <x:c r="F43" s="47" t="str">
        <x:f>IFERROR(VLOOKUP(E43,'Player Database'!$A$6:$AH$117,2,FALSE),"")</x:f>
      </x:c>
      <x:c r="G43" s="47" t="str">
        <x:f>IFERROR(VLOOKUP(E43,'Player Database'!$A$6:$AH$117,3,FALSE),"")</x:f>
      </x:c>
      <x:c r="H43" s="47" t="str"/>
      <x:c r="I43" s="47" t="str">
        <x:f>IFERROR(VLOOKUP(E43,'Player Database'!$A$6:$AH$117,20,FALSE),"")</x:f>
      </x:c>
      <x:c r="J43" s="63" t="str"/>
    </x:row>
    <x:row r="44">
      <x:c r="A44" s="46" t="n">
        <x:v>39</x:v>
      </x:c>
      <x:c r="B44" s="62" t="n">
        <x:v>5</x:v>
      </x:c>
      <x:c r="C44" s="62" t="n">
        <x:v>7</x:v>
      </x:c>
      <x:c r="D44" s="62" t="n">
        <x:v>7</x:v>
      </x:c>
      <x:c r="E44" s="50" t="str"/>
      <x:c r="F44" s="47" t="str">
        <x:f>IFERROR(VLOOKUP(E44,'Player Database'!$A$6:$AH$117,2,FALSE),"")</x:f>
      </x:c>
      <x:c r="G44" s="47" t="str">
        <x:f>IFERROR(VLOOKUP(E44,'Player Database'!$A$6:$AH$117,3,FALSE),"")</x:f>
      </x:c>
      <x:c r="H44" s="47" t="str"/>
      <x:c r="I44" s="47" t="str">
        <x:f>IFERROR(VLOOKUP(E44,'Player Database'!$A$6:$AH$117,20,FALSE),"")</x:f>
      </x:c>
      <x:c r="J44" s="63" t="str"/>
    </x:row>
    <x:row r="45">
      <x:c r="A45" s="46" t="n">
        <x:v>40</x:v>
      </x:c>
      <x:c r="B45" s="62" t="n">
        <x:v>5</x:v>
      </x:c>
      <x:c r="C45" s="62" t="n">
        <x:v>8</x:v>
      </x:c>
      <x:c r="D45" s="62" t="n">
        <x:v>8</x:v>
      </x:c>
      <x:c r="E45" s="50" t="str"/>
      <x:c r="F45" s="47" t="str">
        <x:f>IFERROR(VLOOKUP(E45,'Player Database'!$A$6:$AH$117,2,FALSE),"")</x:f>
      </x:c>
      <x:c r="G45" s="47" t="str">
        <x:f>IFERROR(VLOOKUP(E45,'Player Database'!$A$6:$AH$117,3,FALSE),"")</x:f>
      </x:c>
      <x:c r="H45" s="47" t="str">
        <x:v>YES</x:v>
      </x:c>
      <x:c r="I45" s="47" t="str">
        <x:f>IFERROR(VLOOKUP(E45,'Player Database'!$A$6:$AH$117,20,FALSE),"")</x:f>
      </x:c>
      <x:c r="J45" s="63" t="str"/>
    </x:row>
    <x:row r="46">
      <x:c r="A46" s="46" t="n">
        <x:v>41</x:v>
      </x:c>
      <x:c r="B46" s="62" t="n">
        <x:v>6</x:v>
      </x:c>
      <x:c r="C46" s="62" t="n">
        <x:v>1</x:v>
      </x:c>
      <x:c r="D46" s="62" t="n">
        <x:v>8</x:v>
      </x:c>
      <x:c r="E46" s="50" t="str"/>
      <x:c r="F46" s="47" t="str">
        <x:f>IFERROR(VLOOKUP(E46,'Player Database'!$A$6:$AH$117,2,FALSE),"")</x:f>
      </x:c>
      <x:c r="G46" s="47" t="str">
        <x:f>IFERROR(VLOOKUP(E46,'Player Database'!$A$6:$AH$117,3,FALSE),"")</x:f>
      </x:c>
      <x:c r="H46" s="47" t="str">
        <x:v>YES</x:v>
      </x:c>
      <x:c r="I46" s="47" t="str">
        <x:f>IFERROR(VLOOKUP(E46,'Player Database'!$A$6:$AH$117,20,FALSE),"")</x:f>
      </x:c>
      <x:c r="J46" s="63" t="str"/>
    </x:row>
    <x:row r="47">
      <x:c r="A47" s="46" t="n">
        <x:v>42</x:v>
      </x:c>
      <x:c r="B47" s="62" t="n">
        <x:v>6</x:v>
      </x:c>
      <x:c r="C47" s="62" t="n">
        <x:v>2</x:v>
      </x:c>
      <x:c r="D47" s="62" t="n">
        <x:v>7</x:v>
      </x:c>
      <x:c r="E47" s="50" t="str"/>
      <x:c r="F47" s="47" t="str">
        <x:f>IFERROR(VLOOKUP(E47,'Player Database'!$A$6:$AH$117,2,FALSE),"")</x:f>
      </x:c>
      <x:c r="G47" s="47" t="str">
        <x:f>IFERROR(VLOOKUP(E47,'Player Database'!$A$6:$AH$117,3,FALSE),"")</x:f>
      </x:c>
      <x:c r="H47" s="47" t="str"/>
      <x:c r="I47" s="47" t="str">
        <x:f>IFERROR(VLOOKUP(E47,'Player Database'!$A$6:$AH$117,20,FALSE),"")</x:f>
      </x:c>
      <x:c r="J47" s="63" t="str"/>
    </x:row>
    <x:row r="48">
      <x:c r="A48" s="46" t="n">
        <x:v>43</x:v>
      </x:c>
      <x:c r="B48" s="62" t="n">
        <x:v>6</x:v>
      </x:c>
      <x:c r="C48" s="62" t="n">
        <x:v>3</x:v>
      </x:c>
      <x:c r="D48" s="62" t="n">
        <x:v>6</x:v>
      </x:c>
      <x:c r="E48" s="50" t="str"/>
      <x:c r="F48" s="47" t="str">
        <x:f>IFERROR(VLOOKUP(E48,'Player Database'!$A$6:$AH$117,2,FALSE),"")</x:f>
      </x:c>
      <x:c r="G48" s="47" t="str">
        <x:f>IFERROR(VLOOKUP(E48,'Player Database'!$A$6:$AH$117,3,FALSE),"")</x:f>
      </x:c>
      <x:c r="H48" s="47" t="str"/>
      <x:c r="I48" s="47" t="str">
        <x:f>IFERROR(VLOOKUP(E48,'Player Database'!$A$6:$AH$117,20,FALSE),"")</x:f>
      </x:c>
      <x:c r="J48" s="63" t="str"/>
    </x:row>
    <x:row r="49">
      <x:c r="A49" s="46" t="n">
        <x:v>44</x:v>
      </x:c>
      <x:c r="B49" s="62" t="n">
        <x:v>6</x:v>
      </x:c>
      <x:c r="C49" s="62" t="n">
        <x:v>4</x:v>
      </x:c>
      <x:c r="D49" s="62" t="n">
        <x:v>5</x:v>
      </x:c>
      <x:c r="E49" s="50" t="str"/>
      <x:c r="F49" s="47" t="str">
        <x:f>IFERROR(VLOOKUP(E49,'Player Database'!$A$6:$AH$117,2,FALSE),"")</x:f>
      </x:c>
      <x:c r="G49" s="47" t="str">
        <x:f>IFERROR(VLOOKUP(E49,'Player Database'!$A$6:$AH$117,3,FALSE),"")</x:f>
      </x:c>
      <x:c r="H49" s="47" t="str"/>
      <x:c r="I49" s="47" t="str">
        <x:f>IFERROR(VLOOKUP(E49,'Player Database'!$A$6:$AH$117,20,FALSE),"")</x:f>
      </x:c>
      <x:c r="J49" s="63" t="str"/>
    </x:row>
    <x:row r="50">
      <x:c r="A50" s="46" t="n">
        <x:v>45</x:v>
      </x:c>
      <x:c r="B50" s="62" t="n">
        <x:v>6</x:v>
      </x:c>
      <x:c r="C50" s="62" t="n">
        <x:v>5</x:v>
      </x:c>
      <x:c r="D50" s="62" t="n">
        <x:v>4</x:v>
      </x:c>
      <x:c r="E50" s="50" t="str"/>
      <x:c r="F50" s="47" t="str">
        <x:f>IFERROR(VLOOKUP(E50,'Player Database'!$A$6:$AH$117,2,FALSE),"")</x:f>
      </x:c>
      <x:c r="G50" s="47" t="str">
        <x:f>IFERROR(VLOOKUP(E50,'Player Database'!$A$6:$AH$117,3,FALSE),"")</x:f>
      </x:c>
      <x:c r="H50" s="47" t="str"/>
      <x:c r="I50" s="47" t="str">
        <x:f>IFERROR(VLOOKUP(E50,'Player Database'!$A$6:$AH$117,20,FALSE),"")</x:f>
      </x:c>
      <x:c r="J50" s="63" t="str"/>
    </x:row>
    <x:row r="51">
      <x:c r="A51" s="46" t="n">
        <x:v>46</x:v>
      </x:c>
      <x:c r="B51" s="62" t="n">
        <x:v>6</x:v>
      </x:c>
      <x:c r="C51" s="62" t="n">
        <x:v>6</x:v>
      </x:c>
      <x:c r="D51" s="62" t="n">
        <x:v>3</x:v>
      </x:c>
      <x:c r="E51" s="50" t="str"/>
      <x:c r="F51" s="47" t="str">
        <x:f>IFERROR(VLOOKUP(E51,'Player Database'!$A$6:$AH$117,2,FALSE),"")</x:f>
      </x:c>
      <x:c r="G51" s="47" t="str">
        <x:f>IFERROR(VLOOKUP(E51,'Player Database'!$A$6:$AH$117,3,FALSE),"")</x:f>
      </x:c>
      <x:c r="H51" s="47" t="str"/>
      <x:c r="I51" s="47" t="str">
        <x:f>IFERROR(VLOOKUP(E51,'Player Database'!$A$6:$AH$117,20,FALSE),"")</x:f>
      </x:c>
      <x:c r="J51" s="63" t="str"/>
    </x:row>
    <x:row r="52">
      <x:c r="A52" s="46" t="n">
        <x:v>47</x:v>
      </x:c>
      <x:c r="B52" s="62" t="n">
        <x:v>6</x:v>
      </x:c>
      <x:c r="C52" s="62" t="n">
        <x:v>7</x:v>
      </x:c>
      <x:c r="D52" s="62" t="n">
        <x:v>2</x:v>
      </x:c>
      <x:c r="E52" s="50" t="str"/>
      <x:c r="F52" s="47" t="str">
        <x:f>IFERROR(VLOOKUP(E52,'Player Database'!$A$6:$AH$117,2,FALSE),"")</x:f>
      </x:c>
      <x:c r="G52" s="47" t="str">
        <x:f>IFERROR(VLOOKUP(E52,'Player Database'!$A$6:$AH$117,3,FALSE),"")</x:f>
      </x:c>
      <x:c r="H52" s="47" t="str"/>
      <x:c r="I52" s="47" t="str">
        <x:f>IFERROR(VLOOKUP(E52,'Player Database'!$A$6:$AH$117,20,FALSE),"")</x:f>
      </x:c>
      <x:c r="J52" s="63" t="str"/>
    </x:row>
    <x:row r="53">
      <x:c r="A53" s="46" t="n">
        <x:v>48</x:v>
      </x:c>
      <x:c r="B53" s="62" t="n">
        <x:v>6</x:v>
      </x:c>
      <x:c r="C53" s="62" t="n">
        <x:v>8</x:v>
      </x:c>
      <x:c r="D53" s="62" t="n">
        <x:v>1</x:v>
      </x:c>
      <x:c r="E53" s="50" t="str"/>
      <x:c r="F53" s="47" t="str">
        <x:f>IFERROR(VLOOKUP(E53,'Player Database'!$A$6:$AH$117,2,FALSE),"")</x:f>
      </x:c>
      <x:c r="G53" s="47" t="str">
        <x:f>IFERROR(VLOOKUP(E53,'Player Database'!$A$6:$AH$117,3,FALSE),"")</x:f>
      </x:c>
      <x:c r="H53" s="47" t="str"/>
      <x:c r="I53" s="47" t="str">
        <x:f>IFERROR(VLOOKUP(E53,'Player Database'!$A$6:$AH$117,20,FALSE),"")</x:f>
      </x:c>
      <x:c r="J53" s="63" t="str"/>
    </x:row>
    <x:row r="54">
      <x:c r="A54" s="46" t="n">
        <x:v>49</x:v>
      </x:c>
      <x:c r="B54" s="62" t="n">
        <x:v>7</x:v>
      </x:c>
      <x:c r="C54" s="62" t="n">
        <x:v>1</x:v>
      </x:c>
      <x:c r="D54" s="62" t="n">
        <x:v>1</x:v>
      </x:c>
      <x:c r="E54" s="50" t="str"/>
      <x:c r="F54" s="47" t="str">
        <x:f>IFERROR(VLOOKUP(E54,'Player Database'!$A$6:$AH$117,2,FALSE),"")</x:f>
      </x:c>
      <x:c r="G54" s="47" t="str">
        <x:f>IFERROR(VLOOKUP(E54,'Player Database'!$A$6:$AH$117,3,FALSE),"")</x:f>
      </x:c>
      <x:c r="H54" s="47" t="str"/>
      <x:c r="I54" s="47" t="str">
        <x:f>IFERROR(VLOOKUP(E54,'Player Database'!$A$6:$AH$117,20,FALSE),"")</x:f>
      </x:c>
      <x:c r="J54" s="63" t="str"/>
    </x:row>
    <x:row r="55">
      <x:c r="A55" s="46" t="n">
        <x:v>50</x:v>
      </x:c>
      <x:c r="B55" s="62" t="n">
        <x:v>7</x:v>
      </x:c>
      <x:c r="C55" s="62" t="n">
        <x:v>2</x:v>
      </x:c>
      <x:c r="D55" s="62" t="n">
        <x:v>2</x:v>
      </x:c>
      <x:c r="E55" s="50" t="str"/>
      <x:c r="F55" s="47" t="str">
        <x:f>IFERROR(VLOOKUP(E55,'Player Database'!$A$6:$AH$117,2,FALSE),"")</x:f>
      </x:c>
      <x:c r="G55" s="47" t="str">
        <x:f>IFERROR(VLOOKUP(E55,'Player Database'!$A$6:$AH$117,3,FALSE),"")</x:f>
      </x:c>
      <x:c r="H55" s="47" t="str"/>
      <x:c r="I55" s="47" t="str">
        <x:f>IFERROR(VLOOKUP(E55,'Player Database'!$A$6:$AH$117,20,FALSE),"")</x:f>
      </x:c>
      <x:c r="J55" s="63" t="str"/>
    </x:row>
    <x:row r="56">
      <x:c r="A56" s="46" t="n">
        <x:v>51</x:v>
      </x:c>
      <x:c r="B56" s="62" t="n">
        <x:v>7</x:v>
      </x:c>
      <x:c r="C56" s="62" t="n">
        <x:v>3</x:v>
      </x:c>
      <x:c r="D56" s="62" t="n">
        <x:v>3</x:v>
      </x:c>
      <x:c r="E56" s="50" t="str"/>
      <x:c r="F56" s="47" t="str">
        <x:f>IFERROR(VLOOKUP(E56,'Player Database'!$A$6:$AH$117,2,FALSE),"")</x:f>
      </x:c>
      <x:c r="G56" s="47" t="str">
        <x:f>IFERROR(VLOOKUP(E56,'Player Database'!$A$6:$AH$117,3,FALSE),"")</x:f>
      </x:c>
      <x:c r="H56" s="47" t="str"/>
      <x:c r="I56" s="47" t="str">
        <x:f>IFERROR(VLOOKUP(E56,'Player Database'!$A$6:$AH$117,20,FALSE),"")</x:f>
      </x:c>
      <x:c r="J56" s="63" t="str"/>
    </x:row>
    <x:row r="57">
      <x:c r="A57" s="46" t="n">
        <x:v>52</x:v>
      </x:c>
      <x:c r="B57" s="62" t="n">
        <x:v>7</x:v>
      </x:c>
      <x:c r="C57" s="62" t="n">
        <x:v>4</x:v>
      </x:c>
      <x:c r="D57" s="62" t="n">
        <x:v>4</x:v>
      </x:c>
      <x:c r="E57" s="50" t="str"/>
      <x:c r="F57" s="47" t="str">
        <x:f>IFERROR(VLOOKUP(E57,'Player Database'!$A$6:$AH$117,2,FALSE),"")</x:f>
      </x:c>
      <x:c r="G57" s="47" t="str">
        <x:f>IFERROR(VLOOKUP(E57,'Player Database'!$A$6:$AH$117,3,FALSE),"")</x:f>
      </x:c>
      <x:c r="H57" s="47" t="str"/>
      <x:c r="I57" s="47" t="str">
        <x:f>IFERROR(VLOOKUP(E57,'Player Database'!$A$6:$AH$117,20,FALSE),"")</x:f>
      </x:c>
      <x:c r="J57" s="63" t="str"/>
    </x:row>
    <x:row r="58">
      <x:c r="A58" s="46" t="n">
        <x:v>53</x:v>
      </x:c>
      <x:c r="B58" s="62" t="n">
        <x:v>7</x:v>
      </x:c>
      <x:c r="C58" s="62" t="n">
        <x:v>5</x:v>
      </x:c>
      <x:c r="D58" s="62" t="n">
        <x:v>5</x:v>
      </x:c>
      <x:c r="E58" s="50" t="str"/>
      <x:c r="F58" s="47" t="str">
        <x:f>IFERROR(VLOOKUP(E58,'Player Database'!$A$6:$AH$117,2,FALSE),"")</x:f>
      </x:c>
      <x:c r="G58" s="47" t="str">
        <x:f>IFERROR(VLOOKUP(E58,'Player Database'!$A$6:$AH$117,3,FALSE),"")</x:f>
      </x:c>
      <x:c r="H58" s="47" t="str"/>
      <x:c r="I58" s="47" t="str">
        <x:f>IFERROR(VLOOKUP(E58,'Player Database'!$A$6:$AH$117,20,FALSE),"")</x:f>
      </x:c>
      <x:c r="J58" s="63" t="str"/>
    </x:row>
    <x:row r="59">
      <x:c r="A59" s="46" t="n">
        <x:v>54</x:v>
      </x:c>
      <x:c r="B59" s="62" t="n">
        <x:v>7</x:v>
      </x:c>
      <x:c r="C59" s="62" t="n">
        <x:v>6</x:v>
      </x:c>
      <x:c r="D59" s="62" t="n">
        <x:v>6</x:v>
      </x:c>
      <x:c r="E59" s="50" t="str"/>
      <x:c r="F59" s="47" t="str">
        <x:f>IFERROR(VLOOKUP(E59,'Player Database'!$A$6:$AH$117,2,FALSE),"")</x:f>
      </x:c>
      <x:c r="G59" s="47" t="str">
        <x:f>IFERROR(VLOOKUP(E59,'Player Database'!$A$6:$AH$117,3,FALSE),"")</x:f>
      </x:c>
      <x:c r="H59" s="47" t="str"/>
      <x:c r="I59" s="47" t="str">
        <x:f>IFERROR(VLOOKUP(E59,'Player Database'!$A$6:$AH$117,20,FALSE),"")</x:f>
      </x:c>
      <x:c r="J59" s="63" t="str"/>
    </x:row>
    <x:row r="60">
      <x:c r="A60" s="46" t="n">
        <x:v>55</x:v>
      </x:c>
      <x:c r="B60" s="62" t="n">
        <x:v>7</x:v>
      </x:c>
      <x:c r="C60" s="62" t="n">
        <x:v>7</x:v>
      </x:c>
      <x:c r="D60" s="62" t="n">
        <x:v>7</x:v>
      </x:c>
      <x:c r="E60" s="50" t="str"/>
      <x:c r="F60" s="47" t="str">
        <x:f>IFERROR(VLOOKUP(E60,'Player Database'!$A$6:$AH$117,2,FALSE),"")</x:f>
      </x:c>
      <x:c r="G60" s="47" t="str">
        <x:f>IFERROR(VLOOKUP(E60,'Player Database'!$A$6:$AH$117,3,FALSE),"")</x:f>
      </x:c>
      <x:c r="H60" s="47" t="str"/>
      <x:c r="I60" s="47" t="str">
        <x:f>IFERROR(VLOOKUP(E60,'Player Database'!$A$6:$AH$117,20,FALSE),"")</x:f>
      </x:c>
      <x:c r="J60" s="63" t="str"/>
    </x:row>
    <x:row r="61">
      <x:c r="A61" s="46" t="n">
        <x:v>56</x:v>
      </x:c>
      <x:c r="B61" s="62" t="n">
        <x:v>7</x:v>
      </x:c>
      <x:c r="C61" s="62" t="n">
        <x:v>8</x:v>
      </x:c>
      <x:c r="D61" s="62" t="n">
        <x:v>8</x:v>
      </x:c>
      <x:c r="E61" s="50" t="str"/>
      <x:c r="F61" s="47" t="str">
        <x:f>IFERROR(VLOOKUP(E61,'Player Database'!$A$6:$AH$117,2,FALSE),"")</x:f>
      </x:c>
      <x:c r="G61" s="47" t="str">
        <x:f>IFERROR(VLOOKUP(E61,'Player Database'!$A$6:$AH$117,3,FALSE),"")</x:f>
      </x:c>
      <x:c r="H61" s="47" t="str">
        <x:v>YES</x:v>
      </x:c>
      <x:c r="I61" s="47" t="str">
        <x:f>IFERROR(VLOOKUP(E61,'Player Database'!$A$6:$AH$117,20,FALSE),"")</x:f>
      </x:c>
      <x:c r="J61" s="63" t="str"/>
    </x:row>
    <x:row r="62">
      <x:c r="A62" s="46" t="n">
        <x:v>57</x:v>
      </x:c>
      <x:c r="B62" s="62" t="n">
        <x:v>8</x:v>
      </x:c>
      <x:c r="C62" s="62" t="n">
        <x:v>1</x:v>
      </x:c>
      <x:c r="D62" s="62" t="n">
        <x:v>8</x:v>
      </x:c>
      <x:c r="E62" s="50" t="str"/>
      <x:c r="F62" s="47" t="str">
        <x:f>IFERROR(VLOOKUP(E62,'Player Database'!$A$6:$AH$117,2,FALSE),"")</x:f>
      </x:c>
      <x:c r="G62" s="47" t="str">
        <x:f>IFERROR(VLOOKUP(E62,'Player Database'!$A$6:$AH$117,3,FALSE),"")</x:f>
      </x:c>
      <x:c r="H62" s="47" t="str">
        <x:v>YES</x:v>
      </x:c>
      <x:c r="I62" s="47" t="str">
        <x:f>IFERROR(VLOOKUP(E62,'Player Database'!$A$6:$AH$117,20,FALSE),"")</x:f>
      </x:c>
      <x:c r="J62" s="63" t="str"/>
    </x:row>
    <x:row r="63">
      <x:c r="A63" s="46" t="n">
        <x:v>58</x:v>
      </x:c>
      <x:c r="B63" s="62" t="n">
        <x:v>8</x:v>
      </x:c>
      <x:c r="C63" s="62" t="n">
        <x:v>2</x:v>
      </x:c>
      <x:c r="D63" s="62" t="n">
        <x:v>7</x:v>
      </x:c>
      <x:c r="E63" s="50" t="str"/>
      <x:c r="F63" s="47" t="str">
        <x:f>IFERROR(VLOOKUP(E63,'Player Database'!$A$6:$AH$117,2,FALSE),"")</x:f>
      </x:c>
      <x:c r="G63" s="47" t="str">
        <x:f>IFERROR(VLOOKUP(E63,'Player Database'!$A$6:$AH$117,3,FALSE),"")</x:f>
      </x:c>
      <x:c r="H63" s="47" t="str"/>
      <x:c r="I63" s="47" t="str">
        <x:f>IFERROR(VLOOKUP(E63,'Player Database'!$A$6:$AH$117,20,FALSE),"")</x:f>
      </x:c>
      <x:c r="J63" s="63" t="str"/>
    </x:row>
    <x:row r="64">
      <x:c r="A64" s="46" t="n">
        <x:v>59</x:v>
      </x:c>
      <x:c r="B64" s="62" t="n">
        <x:v>8</x:v>
      </x:c>
      <x:c r="C64" s="62" t="n">
        <x:v>3</x:v>
      </x:c>
      <x:c r="D64" s="62" t="n">
        <x:v>6</x:v>
      </x:c>
      <x:c r="E64" s="50" t="str"/>
      <x:c r="F64" s="47" t="str">
        <x:f>IFERROR(VLOOKUP(E64,'Player Database'!$A$6:$AH$117,2,FALSE),"")</x:f>
      </x:c>
      <x:c r="G64" s="47" t="str">
        <x:f>IFERROR(VLOOKUP(E64,'Player Database'!$A$6:$AH$117,3,FALSE),"")</x:f>
      </x:c>
      <x:c r="H64" s="47" t="str"/>
      <x:c r="I64" s="47" t="str">
        <x:f>IFERROR(VLOOKUP(E64,'Player Database'!$A$6:$AH$117,20,FALSE),"")</x:f>
      </x:c>
      <x:c r="J64" s="63" t="str"/>
    </x:row>
    <x:row r="65">
      <x:c r="A65" s="46" t="n">
        <x:v>60</x:v>
      </x:c>
      <x:c r="B65" s="62" t="n">
        <x:v>8</x:v>
      </x:c>
      <x:c r="C65" s="62" t="n">
        <x:v>4</x:v>
      </x:c>
      <x:c r="D65" s="62" t="n">
        <x:v>5</x:v>
      </x:c>
      <x:c r="E65" s="50" t="str"/>
      <x:c r="F65" s="47" t="str">
        <x:f>IFERROR(VLOOKUP(E65,'Player Database'!$A$6:$AH$117,2,FALSE),"")</x:f>
      </x:c>
      <x:c r="G65" s="47" t="str">
        <x:f>IFERROR(VLOOKUP(E65,'Player Database'!$A$6:$AH$117,3,FALSE),"")</x:f>
      </x:c>
      <x:c r="H65" s="47" t="str"/>
      <x:c r="I65" s="47" t="str">
        <x:f>IFERROR(VLOOKUP(E65,'Player Database'!$A$6:$AH$117,20,FALSE),"")</x:f>
      </x:c>
      <x:c r="J65" s="63" t="str"/>
    </x:row>
    <x:row r="66">
      <x:c r="A66" s="46" t="n">
        <x:v>61</x:v>
      </x:c>
      <x:c r="B66" s="62" t="n">
        <x:v>8</x:v>
      </x:c>
      <x:c r="C66" s="62" t="n">
        <x:v>5</x:v>
      </x:c>
      <x:c r="D66" s="62" t="n">
        <x:v>4</x:v>
      </x:c>
      <x:c r="E66" s="50" t="str"/>
      <x:c r="F66" s="47" t="str">
        <x:f>IFERROR(VLOOKUP(E66,'Player Database'!$A$6:$AH$117,2,FALSE),"")</x:f>
      </x:c>
      <x:c r="G66" s="47" t="str">
        <x:f>IFERROR(VLOOKUP(E66,'Player Database'!$A$6:$AH$117,3,FALSE),"")</x:f>
      </x:c>
      <x:c r="H66" s="47" t="str"/>
      <x:c r="I66" s="47" t="str">
        <x:f>IFERROR(VLOOKUP(E66,'Player Database'!$A$6:$AH$117,20,FALSE),"")</x:f>
      </x:c>
      <x:c r="J66" s="63" t="str"/>
    </x:row>
    <x:row r="67">
      <x:c r="A67" s="46" t="n">
        <x:v>62</x:v>
      </x:c>
      <x:c r="B67" s="62" t="n">
        <x:v>8</x:v>
      </x:c>
      <x:c r="C67" s="62" t="n">
        <x:v>6</x:v>
      </x:c>
      <x:c r="D67" s="62" t="n">
        <x:v>3</x:v>
      </x:c>
      <x:c r="E67" s="50" t="str"/>
      <x:c r="F67" s="47" t="str">
        <x:f>IFERROR(VLOOKUP(E67,'Player Database'!$A$6:$AH$117,2,FALSE),"")</x:f>
      </x:c>
      <x:c r="G67" s="47" t="str">
        <x:f>IFERROR(VLOOKUP(E67,'Player Database'!$A$6:$AH$117,3,FALSE),"")</x:f>
      </x:c>
      <x:c r="H67" s="47" t="str"/>
      <x:c r="I67" s="47" t="str">
        <x:f>IFERROR(VLOOKUP(E67,'Player Database'!$A$6:$AH$117,20,FALSE),"")</x:f>
      </x:c>
      <x:c r="J67" s="63" t="str"/>
    </x:row>
    <x:row r="68">
      <x:c r="A68" s="46" t="n">
        <x:v>63</x:v>
      </x:c>
      <x:c r="B68" s="62" t="n">
        <x:v>8</x:v>
      </x:c>
      <x:c r="C68" s="62" t="n">
        <x:v>7</x:v>
      </x:c>
      <x:c r="D68" s="62" t="n">
        <x:v>2</x:v>
      </x:c>
      <x:c r="E68" s="50" t="str"/>
      <x:c r="F68" s="47" t="str">
        <x:f>IFERROR(VLOOKUP(E68,'Player Database'!$A$6:$AH$117,2,FALSE),"")</x:f>
      </x:c>
      <x:c r="G68" s="47" t="str">
        <x:f>IFERROR(VLOOKUP(E68,'Player Database'!$A$6:$AH$117,3,FALSE),"")</x:f>
      </x:c>
      <x:c r="H68" s="47" t="str"/>
      <x:c r="I68" s="47" t="str">
        <x:f>IFERROR(VLOOKUP(E68,'Player Database'!$A$6:$AH$117,20,FALSE),"")</x:f>
      </x:c>
      <x:c r="J68" s="63" t="str"/>
    </x:row>
    <x:row r="69">
      <x:c r="A69" s="46" t="n">
        <x:v>64</x:v>
      </x:c>
      <x:c r="B69" s="62" t="n">
        <x:v>8</x:v>
      </x:c>
      <x:c r="C69" s="62" t="n">
        <x:v>8</x:v>
      </x:c>
      <x:c r="D69" s="62" t="n">
        <x:v>1</x:v>
      </x:c>
      <x:c r="E69" s="50" t="str"/>
      <x:c r="F69" s="47" t="str">
        <x:f>IFERROR(VLOOKUP(E69,'Player Database'!$A$6:$AH$117,2,FALSE),"")</x:f>
      </x:c>
      <x:c r="G69" s="47" t="str">
        <x:f>IFERROR(VLOOKUP(E69,'Player Database'!$A$6:$AH$117,3,FALSE),"")</x:f>
      </x:c>
      <x:c r="H69" s="47" t="str"/>
      <x:c r="I69" s="47" t="str">
        <x:f>IFERROR(VLOOKUP(E69,'Player Database'!$A$6:$AH$117,20,FALSE),"")</x:f>
      </x:c>
      <x:c r="J69" s="63" t="str"/>
    </x:row>
    <x:row r="70">
      <x:c r="A70" s="46" t="n">
        <x:v>65</x:v>
      </x:c>
      <x:c r="B70" s="62" t="n">
        <x:v>9</x:v>
      </x:c>
      <x:c r="C70" s="62" t="n">
        <x:v>1</x:v>
      </x:c>
      <x:c r="D70" s="62" t="n">
        <x:v>1</x:v>
      </x:c>
      <x:c r="E70" s="50" t="str"/>
      <x:c r="F70" s="47" t="str">
        <x:f>IFERROR(VLOOKUP(E70,'Player Database'!$A$6:$AH$117,2,FALSE),"")</x:f>
      </x:c>
      <x:c r="G70" s="47" t="str">
        <x:f>IFERROR(VLOOKUP(E70,'Player Database'!$A$6:$AH$117,3,FALSE),"")</x:f>
      </x:c>
      <x:c r="H70" s="47" t="str"/>
      <x:c r="I70" s="47" t="str">
        <x:f>IFERROR(VLOOKUP(E70,'Player Database'!$A$6:$AH$117,20,FALSE),"")</x:f>
      </x:c>
      <x:c r="J70" s="63" t="str"/>
    </x:row>
    <x:row r="71">
      <x:c r="A71" s="46" t="n">
        <x:v>66</x:v>
      </x:c>
      <x:c r="B71" s="62" t="n">
        <x:v>9</x:v>
      </x:c>
      <x:c r="C71" s="62" t="n">
        <x:v>2</x:v>
      </x:c>
      <x:c r="D71" s="62" t="n">
        <x:v>2</x:v>
      </x:c>
      <x:c r="E71" s="50" t="str"/>
      <x:c r="F71" s="47" t="str">
        <x:f>IFERROR(VLOOKUP(E71,'Player Database'!$A$6:$AH$117,2,FALSE),"")</x:f>
      </x:c>
      <x:c r="G71" s="47" t="str">
        <x:f>IFERROR(VLOOKUP(E71,'Player Database'!$A$6:$AH$117,3,FALSE),"")</x:f>
      </x:c>
      <x:c r="H71" s="47" t="str"/>
      <x:c r="I71" s="47" t="str">
        <x:f>IFERROR(VLOOKUP(E71,'Player Database'!$A$6:$AH$117,20,FALSE),"")</x:f>
      </x:c>
      <x:c r="J71" s="63" t="str"/>
    </x:row>
    <x:row r="72">
      <x:c r="A72" s="46" t="n">
        <x:v>67</x:v>
      </x:c>
      <x:c r="B72" s="62" t="n">
        <x:v>9</x:v>
      </x:c>
      <x:c r="C72" s="62" t="n">
        <x:v>3</x:v>
      </x:c>
      <x:c r="D72" s="62" t="n">
        <x:v>3</x:v>
      </x:c>
      <x:c r="E72" s="50" t="str"/>
      <x:c r="F72" s="47" t="str">
        <x:f>IFERROR(VLOOKUP(E72,'Player Database'!$A$6:$AH$117,2,FALSE),"")</x:f>
      </x:c>
      <x:c r="G72" s="47" t="str">
        <x:f>IFERROR(VLOOKUP(E72,'Player Database'!$A$6:$AH$117,3,FALSE),"")</x:f>
      </x:c>
      <x:c r="H72" s="47" t="str"/>
      <x:c r="I72" s="47" t="str">
        <x:f>IFERROR(VLOOKUP(E72,'Player Database'!$A$6:$AH$117,20,FALSE),"")</x:f>
      </x:c>
      <x:c r="J72" s="63" t="str"/>
    </x:row>
    <x:row r="73">
      <x:c r="A73" s="46" t="n">
        <x:v>68</x:v>
      </x:c>
      <x:c r="B73" s="62" t="n">
        <x:v>9</x:v>
      </x:c>
      <x:c r="C73" s="62" t="n">
        <x:v>4</x:v>
      </x:c>
      <x:c r="D73" s="62" t="n">
        <x:v>4</x:v>
      </x:c>
      <x:c r="E73" s="50" t="str"/>
      <x:c r="F73" s="47" t="str">
        <x:f>IFERROR(VLOOKUP(E73,'Player Database'!$A$6:$AH$117,2,FALSE),"")</x:f>
      </x:c>
      <x:c r="G73" s="47" t="str">
        <x:f>IFERROR(VLOOKUP(E73,'Player Database'!$A$6:$AH$117,3,FALSE),"")</x:f>
      </x:c>
      <x:c r="H73" s="47" t="str"/>
      <x:c r="I73" s="47" t="str">
        <x:f>IFERROR(VLOOKUP(E73,'Player Database'!$A$6:$AH$117,20,FALSE),"")</x:f>
      </x:c>
      <x:c r="J73" s="63" t="str"/>
    </x:row>
    <x:row r="74">
      <x:c r="A74" s="46" t="n">
        <x:v>69</x:v>
      </x:c>
      <x:c r="B74" s="62" t="n">
        <x:v>9</x:v>
      </x:c>
      <x:c r="C74" s="62" t="n">
        <x:v>5</x:v>
      </x:c>
      <x:c r="D74" s="62" t="n">
        <x:v>5</x:v>
      </x:c>
      <x:c r="E74" s="50" t="str"/>
      <x:c r="F74" s="47" t="str">
        <x:f>IFERROR(VLOOKUP(E74,'Player Database'!$A$6:$AH$117,2,FALSE),"")</x:f>
      </x:c>
      <x:c r="G74" s="47" t="str">
        <x:f>IFERROR(VLOOKUP(E74,'Player Database'!$A$6:$AH$117,3,FALSE),"")</x:f>
      </x:c>
      <x:c r="H74" s="47" t="str"/>
      <x:c r="I74" s="47" t="str">
        <x:f>IFERROR(VLOOKUP(E74,'Player Database'!$A$6:$AH$117,20,FALSE),"")</x:f>
      </x:c>
      <x:c r="J74" s="63" t="str"/>
    </x:row>
    <x:row r="75">
      <x:c r="A75" s="46" t="n">
        <x:v>70</x:v>
      </x:c>
      <x:c r="B75" s="62" t="n">
        <x:v>9</x:v>
      </x:c>
      <x:c r="C75" s="62" t="n">
        <x:v>6</x:v>
      </x:c>
      <x:c r="D75" s="62" t="n">
        <x:v>6</x:v>
      </x:c>
      <x:c r="E75" s="50" t="str"/>
      <x:c r="F75" s="47" t="str">
        <x:f>IFERROR(VLOOKUP(E75,'Player Database'!$A$6:$AH$117,2,FALSE),"")</x:f>
      </x:c>
      <x:c r="G75" s="47" t="str">
        <x:f>IFERROR(VLOOKUP(E75,'Player Database'!$A$6:$AH$117,3,FALSE),"")</x:f>
      </x:c>
      <x:c r="H75" s="47" t="str"/>
      <x:c r="I75" s="47" t="str">
        <x:f>IFERROR(VLOOKUP(E75,'Player Database'!$A$6:$AH$117,20,FALSE),"")</x:f>
      </x:c>
      <x:c r="J75" s="63" t="str"/>
    </x:row>
    <x:row r="76">
      <x:c r="A76" s="46" t="n">
        <x:v>71</x:v>
      </x:c>
      <x:c r="B76" s="62" t="n">
        <x:v>9</x:v>
      </x:c>
      <x:c r="C76" s="62" t="n">
        <x:v>7</x:v>
      </x:c>
      <x:c r="D76" s="62" t="n">
        <x:v>7</x:v>
      </x:c>
      <x:c r="E76" s="50" t="str"/>
      <x:c r="F76" s="47" t="str">
        <x:f>IFERROR(VLOOKUP(E76,'Player Database'!$A$6:$AH$117,2,FALSE),"")</x:f>
      </x:c>
      <x:c r="G76" s="47" t="str">
        <x:f>IFERROR(VLOOKUP(E76,'Player Database'!$A$6:$AH$117,3,FALSE),"")</x:f>
      </x:c>
      <x:c r="H76" s="47" t="str"/>
      <x:c r="I76" s="47" t="str">
        <x:f>IFERROR(VLOOKUP(E76,'Player Database'!$A$6:$AH$117,20,FALSE),"")</x:f>
      </x:c>
      <x:c r="J76" s="63" t="str"/>
    </x:row>
    <x:row r="77">
      <x:c r="A77" s="46" t="n">
        <x:v>72</x:v>
      </x:c>
      <x:c r="B77" s="62" t="n">
        <x:v>9</x:v>
      </x:c>
      <x:c r="C77" s="62" t="n">
        <x:v>8</x:v>
      </x:c>
      <x:c r="D77" s="62" t="n">
        <x:v>8</x:v>
      </x:c>
      <x:c r="E77" s="50" t="str"/>
      <x:c r="F77" s="47" t="str">
        <x:f>IFERROR(VLOOKUP(E77,'Player Database'!$A$6:$AH$117,2,FALSE),"")</x:f>
      </x:c>
      <x:c r="G77" s="47" t="str">
        <x:f>IFERROR(VLOOKUP(E77,'Player Database'!$A$6:$AH$117,3,FALSE),"")</x:f>
      </x:c>
      <x:c r="H77" s="47" t="str">
        <x:v>YES</x:v>
      </x:c>
      <x:c r="I77" s="47" t="str">
        <x:f>IFERROR(VLOOKUP(E77,'Player Database'!$A$6:$AH$117,20,FALSE),"")</x:f>
      </x:c>
      <x:c r="J77" s="63" t="str"/>
    </x:row>
    <x:row r="78">
      <x:c r="A78" s="46" t="n">
        <x:v>73</x:v>
      </x:c>
      <x:c r="B78" s="62" t="n">
        <x:v>10</x:v>
      </x:c>
      <x:c r="C78" s="62" t="n">
        <x:v>1</x:v>
      </x:c>
      <x:c r="D78" s="62" t="n">
        <x:v>8</x:v>
      </x:c>
      <x:c r="E78" s="50" t="str"/>
      <x:c r="F78" s="47" t="str">
        <x:f>IFERROR(VLOOKUP(E78,'Player Database'!$A$6:$AH$117,2,FALSE),"")</x:f>
      </x:c>
      <x:c r="G78" s="47" t="str">
        <x:f>IFERROR(VLOOKUP(E78,'Player Database'!$A$6:$AH$117,3,FALSE),"")</x:f>
      </x:c>
      <x:c r="H78" s="47" t="str">
        <x:v>YES</x:v>
      </x:c>
      <x:c r="I78" s="47" t="str">
        <x:f>IFERROR(VLOOKUP(E78,'Player Database'!$A$6:$AH$117,20,FALSE),"")</x:f>
      </x:c>
      <x:c r="J78" s="63" t="str"/>
    </x:row>
    <x:row r="79">
      <x:c r="A79" s="46" t="n">
        <x:v>74</x:v>
      </x:c>
      <x:c r="B79" s="62" t="n">
        <x:v>10</x:v>
      </x:c>
      <x:c r="C79" s="62" t="n">
        <x:v>2</x:v>
      </x:c>
      <x:c r="D79" s="62" t="n">
        <x:v>7</x:v>
      </x:c>
      <x:c r="E79" s="50" t="str"/>
      <x:c r="F79" s="47" t="str">
        <x:f>IFERROR(VLOOKUP(E79,'Player Database'!$A$6:$AH$117,2,FALSE),"")</x:f>
      </x:c>
      <x:c r="G79" s="47" t="str">
        <x:f>IFERROR(VLOOKUP(E79,'Player Database'!$A$6:$AH$117,3,FALSE),"")</x:f>
      </x:c>
      <x:c r="H79" s="47" t="str"/>
      <x:c r="I79" s="47" t="str">
        <x:f>IFERROR(VLOOKUP(E79,'Player Database'!$A$6:$AH$117,20,FALSE),"")</x:f>
      </x:c>
      <x:c r="J79" s="63" t="str"/>
    </x:row>
    <x:row r="80">
      <x:c r="A80" s="46" t="n">
        <x:v>75</x:v>
      </x:c>
      <x:c r="B80" s="62" t="n">
        <x:v>10</x:v>
      </x:c>
      <x:c r="C80" s="62" t="n">
        <x:v>3</x:v>
      </x:c>
      <x:c r="D80" s="62" t="n">
        <x:v>6</x:v>
      </x:c>
      <x:c r="E80" s="50" t="str"/>
      <x:c r="F80" s="47" t="str">
        <x:f>IFERROR(VLOOKUP(E80,'Player Database'!$A$6:$AH$117,2,FALSE),"")</x:f>
      </x:c>
      <x:c r="G80" s="47" t="str">
        <x:f>IFERROR(VLOOKUP(E80,'Player Database'!$A$6:$AH$117,3,FALSE),"")</x:f>
      </x:c>
      <x:c r="H80" s="47" t="str"/>
      <x:c r="I80" s="47" t="str">
        <x:f>IFERROR(VLOOKUP(E80,'Player Database'!$A$6:$AH$117,20,FALSE),"")</x:f>
      </x:c>
      <x:c r="J80" s="63" t="str"/>
    </x:row>
    <x:row r="81">
      <x:c r="A81" s="46" t="n">
        <x:v>76</x:v>
      </x:c>
      <x:c r="B81" s="62" t="n">
        <x:v>10</x:v>
      </x:c>
      <x:c r="C81" s="62" t="n">
        <x:v>4</x:v>
      </x:c>
      <x:c r="D81" s="62" t="n">
        <x:v>5</x:v>
      </x:c>
      <x:c r="E81" s="50" t="str"/>
      <x:c r="F81" s="47" t="str">
        <x:f>IFERROR(VLOOKUP(E81,'Player Database'!$A$6:$AH$117,2,FALSE),"")</x:f>
      </x:c>
      <x:c r="G81" s="47" t="str">
        <x:f>IFERROR(VLOOKUP(E81,'Player Database'!$A$6:$AH$117,3,FALSE),"")</x:f>
      </x:c>
      <x:c r="H81" s="47" t="str"/>
      <x:c r="I81" s="47" t="str">
        <x:f>IFERROR(VLOOKUP(E81,'Player Database'!$A$6:$AH$117,20,FALSE),"")</x:f>
      </x:c>
      <x:c r="J81" s="63" t="str"/>
    </x:row>
    <x:row r="82">
      <x:c r="A82" s="46" t="n">
        <x:v>77</x:v>
      </x:c>
      <x:c r="B82" s="62" t="n">
        <x:v>10</x:v>
      </x:c>
      <x:c r="C82" s="62" t="n">
        <x:v>5</x:v>
      </x:c>
      <x:c r="D82" s="62" t="n">
        <x:v>4</x:v>
      </x:c>
      <x:c r="E82" s="50" t="str"/>
      <x:c r="F82" s="47" t="str">
        <x:f>IFERROR(VLOOKUP(E82,'Player Database'!$A$6:$AH$117,2,FALSE),"")</x:f>
      </x:c>
      <x:c r="G82" s="47" t="str">
        <x:f>IFERROR(VLOOKUP(E82,'Player Database'!$A$6:$AH$117,3,FALSE),"")</x:f>
      </x:c>
      <x:c r="H82" s="47" t="str"/>
      <x:c r="I82" s="47" t="str">
        <x:f>IFERROR(VLOOKUP(E82,'Player Database'!$A$6:$AH$117,20,FALSE),"")</x:f>
      </x:c>
      <x:c r="J82" s="63" t="str"/>
    </x:row>
    <x:row r="83">
      <x:c r="A83" s="46" t="n">
        <x:v>78</x:v>
      </x:c>
      <x:c r="B83" s="62" t="n">
        <x:v>10</x:v>
      </x:c>
      <x:c r="C83" s="62" t="n">
        <x:v>6</x:v>
      </x:c>
      <x:c r="D83" s="62" t="n">
        <x:v>3</x:v>
      </x:c>
      <x:c r="E83" s="50" t="str"/>
      <x:c r="F83" s="47" t="str">
        <x:f>IFERROR(VLOOKUP(E83,'Player Database'!$A$6:$AH$117,2,FALSE),"")</x:f>
      </x:c>
      <x:c r="G83" s="47" t="str">
        <x:f>IFERROR(VLOOKUP(E83,'Player Database'!$A$6:$AH$117,3,FALSE),"")</x:f>
      </x:c>
      <x:c r="H83" s="47" t="str"/>
      <x:c r="I83" s="47" t="str">
        <x:f>IFERROR(VLOOKUP(E83,'Player Database'!$A$6:$AH$117,20,FALSE),"")</x:f>
      </x:c>
      <x:c r="J83" s="63" t="str"/>
    </x:row>
    <x:row r="84">
      <x:c r="A84" s="46" t="n">
        <x:v>79</x:v>
      </x:c>
      <x:c r="B84" s="62" t="n">
        <x:v>10</x:v>
      </x:c>
      <x:c r="C84" s="62" t="n">
        <x:v>7</x:v>
      </x:c>
      <x:c r="D84" s="62" t="n">
        <x:v>2</x:v>
      </x:c>
      <x:c r="E84" s="50" t="str"/>
      <x:c r="F84" s="47" t="str">
        <x:f>IFERROR(VLOOKUP(E84,'Player Database'!$A$6:$AH$117,2,FALSE),"")</x:f>
      </x:c>
      <x:c r="G84" s="47" t="str">
        <x:f>IFERROR(VLOOKUP(E84,'Player Database'!$A$6:$AH$117,3,FALSE),"")</x:f>
      </x:c>
      <x:c r="H84" s="47" t="str"/>
      <x:c r="I84" s="47" t="str">
        <x:f>IFERROR(VLOOKUP(E84,'Player Database'!$A$6:$AH$117,20,FALSE),"")</x:f>
      </x:c>
      <x:c r="J84" s="63" t="str"/>
    </x:row>
    <x:row r="85">
      <x:c r="A85" s="46" t="n">
        <x:v>80</x:v>
      </x:c>
      <x:c r="B85" s="62" t="n">
        <x:v>10</x:v>
      </x:c>
      <x:c r="C85" s="62" t="n">
        <x:v>8</x:v>
      </x:c>
      <x:c r="D85" s="62" t="n">
        <x:v>1</x:v>
      </x:c>
      <x:c r="E85" s="50" t="str"/>
      <x:c r="F85" s="47" t="str">
        <x:f>IFERROR(VLOOKUP(E85,'Player Database'!$A$6:$AH$117,2,FALSE),"")</x:f>
      </x:c>
      <x:c r="G85" s="47" t="str">
        <x:f>IFERROR(VLOOKUP(E85,'Player Database'!$A$6:$AH$117,3,FALSE),"")</x:f>
      </x:c>
      <x:c r="H85" s="47" t="str"/>
      <x:c r="I85" s="47" t="str">
        <x:f>IFERROR(VLOOKUP(E85,'Player Database'!$A$6:$AH$117,20,FALSE),"")</x:f>
      </x:c>
      <x:c r="J85" s="63" t="str"/>
    </x:row>
    <x:row r="86">
      <x:c r="A86" s="46" t="n">
        <x:v>81</x:v>
      </x:c>
      <x:c r="B86" s="62" t="n">
        <x:v>11</x:v>
      </x:c>
      <x:c r="C86" s="62" t="n">
        <x:v>1</x:v>
      </x:c>
      <x:c r="D86" s="62" t="n">
        <x:v>1</x:v>
      </x:c>
      <x:c r="E86" s="50" t="str"/>
      <x:c r="F86" s="47" t="str">
        <x:f>IFERROR(VLOOKUP(E86,'Player Database'!$A$6:$AH$117,2,FALSE),"")</x:f>
      </x:c>
      <x:c r="G86" s="47" t="str">
        <x:f>IFERROR(VLOOKUP(E86,'Player Database'!$A$6:$AH$117,3,FALSE),"")</x:f>
      </x:c>
      <x:c r="H86" s="47" t="str"/>
      <x:c r="I86" s="47" t="str">
        <x:f>IFERROR(VLOOKUP(E86,'Player Database'!$A$6:$AH$117,20,FALSE),"")</x:f>
      </x:c>
      <x:c r="J86" s="63" t="str"/>
    </x:row>
    <x:row r="87">
      <x:c r="A87" s="46" t="n">
        <x:v>82</x:v>
      </x:c>
      <x:c r="B87" s="62" t="n">
        <x:v>11</x:v>
      </x:c>
      <x:c r="C87" s="62" t="n">
        <x:v>2</x:v>
      </x:c>
      <x:c r="D87" s="62" t="n">
        <x:v>2</x:v>
      </x:c>
      <x:c r="E87" s="50" t="str"/>
      <x:c r="F87" s="47" t="str">
        <x:f>IFERROR(VLOOKUP(E87,'Player Database'!$A$6:$AH$117,2,FALSE),"")</x:f>
      </x:c>
      <x:c r="G87" s="47" t="str">
        <x:f>IFERROR(VLOOKUP(E87,'Player Database'!$A$6:$AH$117,3,FALSE),"")</x:f>
      </x:c>
      <x:c r="H87" s="47" t="str"/>
      <x:c r="I87" s="47" t="str">
        <x:f>IFERROR(VLOOKUP(E87,'Player Database'!$A$6:$AH$117,20,FALSE),"")</x:f>
      </x:c>
      <x:c r="J87" s="63" t="str"/>
    </x:row>
    <x:row r="88">
      <x:c r="A88" s="46" t="n">
        <x:v>83</x:v>
      </x:c>
      <x:c r="B88" s="62" t="n">
        <x:v>11</x:v>
      </x:c>
      <x:c r="C88" s="62" t="n">
        <x:v>3</x:v>
      </x:c>
      <x:c r="D88" s="62" t="n">
        <x:v>3</x:v>
      </x:c>
      <x:c r="E88" s="50" t="str"/>
      <x:c r="F88" s="47" t="str">
        <x:f>IFERROR(VLOOKUP(E88,'Player Database'!$A$6:$AH$117,2,FALSE),"")</x:f>
      </x:c>
      <x:c r="G88" s="47" t="str">
        <x:f>IFERROR(VLOOKUP(E88,'Player Database'!$A$6:$AH$117,3,FALSE),"")</x:f>
      </x:c>
      <x:c r="H88" s="47" t="str"/>
      <x:c r="I88" s="47" t="str">
        <x:f>IFERROR(VLOOKUP(E88,'Player Database'!$A$6:$AH$117,20,FALSE),"")</x:f>
      </x:c>
      <x:c r="J88" s="63" t="str"/>
    </x:row>
    <x:row r="89">
      <x:c r="A89" s="46" t="n">
        <x:v>84</x:v>
      </x:c>
      <x:c r="B89" s="62" t="n">
        <x:v>11</x:v>
      </x:c>
      <x:c r="C89" s="62" t="n">
        <x:v>4</x:v>
      </x:c>
      <x:c r="D89" s="62" t="n">
        <x:v>4</x:v>
      </x:c>
      <x:c r="E89" s="50" t="str"/>
      <x:c r="F89" s="47" t="str">
        <x:f>IFERROR(VLOOKUP(E89,'Player Database'!$A$6:$AH$117,2,FALSE),"")</x:f>
      </x:c>
      <x:c r="G89" s="47" t="str">
        <x:f>IFERROR(VLOOKUP(E89,'Player Database'!$A$6:$AH$117,3,FALSE),"")</x:f>
      </x:c>
      <x:c r="H89" s="47" t="str"/>
      <x:c r="I89" s="47" t="str">
        <x:f>IFERROR(VLOOKUP(E89,'Player Database'!$A$6:$AH$117,20,FALSE),"")</x:f>
      </x:c>
      <x:c r="J89" s="63" t="str"/>
    </x:row>
    <x:row r="90">
      <x:c r="A90" s="46" t="n">
        <x:v>85</x:v>
      </x:c>
      <x:c r="B90" s="62" t="n">
        <x:v>11</x:v>
      </x:c>
      <x:c r="C90" s="62" t="n">
        <x:v>5</x:v>
      </x:c>
      <x:c r="D90" s="62" t="n">
        <x:v>5</x:v>
      </x:c>
      <x:c r="E90" s="50" t="str"/>
      <x:c r="F90" s="47" t="str">
        <x:f>IFERROR(VLOOKUP(E90,'Player Database'!$A$6:$AH$117,2,FALSE),"")</x:f>
      </x:c>
      <x:c r="G90" s="47" t="str">
        <x:f>IFERROR(VLOOKUP(E90,'Player Database'!$A$6:$AH$117,3,FALSE),"")</x:f>
      </x:c>
      <x:c r="H90" s="47" t="str"/>
      <x:c r="I90" s="47" t="str">
        <x:f>IFERROR(VLOOKUP(E90,'Player Database'!$A$6:$AH$117,20,FALSE),"")</x:f>
      </x:c>
      <x:c r="J90" s="63" t="str"/>
    </x:row>
    <x:row r="91">
      <x:c r="A91" s="46" t="n">
        <x:v>86</x:v>
      </x:c>
      <x:c r="B91" s="62" t="n">
        <x:v>11</x:v>
      </x:c>
      <x:c r="C91" s="62" t="n">
        <x:v>6</x:v>
      </x:c>
      <x:c r="D91" s="62" t="n">
        <x:v>6</x:v>
      </x:c>
      <x:c r="E91" s="50" t="str"/>
      <x:c r="F91" s="47" t="str">
        <x:f>IFERROR(VLOOKUP(E91,'Player Database'!$A$6:$AH$117,2,FALSE),"")</x:f>
      </x:c>
      <x:c r="G91" s="47" t="str">
        <x:f>IFERROR(VLOOKUP(E91,'Player Database'!$A$6:$AH$117,3,FALSE),"")</x:f>
      </x:c>
      <x:c r="H91" s="47" t="str"/>
      <x:c r="I91" s="47" t="str">
        <x:f>IFERROR(VLOOKUP(E91,'Player Database'!$A$6:$AH$117,20,FALSE),"")</x:f>
      </x:c>
      <x:c r="J91" s="63" t="str"/>
    </x:row>
    <x:row r="92">
      <x:c r="A92" s="46" t="n">
        <x:v>87</x:v>
      </x:c>
      <x:c r="B92" s="62" t="n">
        <x:v>11</x:v>
      </x:c>
      <x:c r="C92" s="62" t="n">
        <x:v>7</x:v>
      </x:c>
      <x:c r="D92" s="62" t="n">
        <x:v>7</x:v>
      </x:c>
      <x:c r="E92" s="50" t="str"/>
      <x:c r="F92" s="47" t="str">
        <x:f>IFERROR(VLOOKUP(E92,'Player Database'!$A$6:$AH$117,2,FALSE),"")</x:f>
      </x:c>
      <x:c r="G92" s="47" t="str">
        <x:f>IFERROR(VLOOKUP(E92,'Player Database'!$A$6:$AH$117,3,FALSE),"")</x:f>
      </x:c>
      <x:c r="H92" s="47" t="str"/>
      <x:c r="I92" s="47" t="str">
        <x:f>IFERROR(VLOOKUP(E92,'Player Database'!$A$6:$AH$117,20,FALSE),"")</x:f>
      </x:c>
      <x:c r="J92" s="63" t="str"/>
    </x:row>
    <x:row r="93">
      <x:c r="A93" s="46" t="n">
        <x:v>88</x:v>
      </x:c>
      <x:c r="B93" s="62" t="n">
        <x:v>11</x:v>
      </x:c>
      <x:c r="C93" s="62" t="n">
        <x:v>8</x:v>
      </x:c>
      <x:c r="D93" s="62" t="n">
        <x:v>8</x:v>
      </x:c>
      <x:c r="E93" s="50" t="str"/>
      <x:c r="F93" s="47" t="str">
        <x:f>IFERROR(VLOOKUP(E93,'Player Database'!$A$6:$AH$117,2,FALSE),"")</x:f>
      </x:c>
      <x:c r="G93" s="47" t="str">
        <x:f>IFERROR(VLOOKUP(E93,'Player Database'!$A$6:$AH$117,3,FALSE),"")</x:f>
      </x:c>
      <x:c r="H93" s="47" t="str">
        <x:v>YES</x:v>
      </x:c>
      <x:c r="I93" s="47" t="str">
        <x:f>IFERROR(VLOOKUP(E93,'Player Database'!$A$6:$AH$117,20,FALSE),"")</x:f>
      </x:c>
      <x:c r="J93" s="63" t="str"/>
    </x:row>
    <x:row r="94">
      <x:c r="A94" s="46" t="n">
        <x:v>89</x:v>
      </x:c>
      <x:c r="B94" s="62" t="n">
        <x:v>12</x:v>
      </x:c>
      <x:c r="C94" s="62" t="n">
        <x:v>1</x:v>
      </x:c>
      <x:c r="D94" s="62" t="n">
        <x:v>8</x:v>
      </x:c>
      <x:c r="E94" s="50" t="str"/>
      <x:c r="F94" s="47" t="str">
        <x:f>IFERROR(VLOOKUP(E94,'Player Database'!$A$6:$AH$117,2,FALSE),"")</x:f>
      </x:c>
      <x:c r="G94" s="47" t="str">
        <x:f>IFERROR(VLOOKUP(E94,'Player Database'!$A$6:$AH$117,3,FALSE),"")</x:f>
      </x:c>
      <x:c r="H94" s="47" t="str">
        <x:v>YES</x:v>
      </x:c>
      <x:c r="I94" s="47" t="str">
        <x:f>IFERROR(VLOOKUP(E94,'Player Database'!$A$6:$AH$117,20,FALSE),"")</x:f>
      </x:c>
      <x:c r="J94" s="63" t="str"/>
    </x:row>
    <x:row r="95">
      <x:c r="A95" s="46" t="n">
        <x:v>90</x:v>
      </x:c>
      <x:c r="B95" s="62" t="n">
        <x:v>12</x:v>
      </x:c>
      <x:c r="C95" s="62" t="n">
        <x:v>2</x:v>
      </x:c>
      <x:c r="D95" s="62" t="n">
        <x:v>7</x:v>
      </x:c>
      <x:c r="E95" s="50" t="str"/>
      <x:c r="F95" s="47" t="str">
        <x:f>IFERROR(VLOOKUP(E95,'Player Database'!$A$6:$AH$117,2,FALSE),"")</x:f>
      </x:c>
      <x:c r="G95" s="47" t="str">
        <x:f>IFERROR(VLOOKUP(E95,'Player Database'!$A$6:$AH$117,3,FALSE),"")</x:f>
      </x:c>
      <x:c r="H95" s="47" t="str"/>
      <x:c r="I95" s="47" t="str">
        <x:f>IFERROR(VLOOKUP(E95,'Player Database'!$A$6:$AH$117,20,FALSE),"")</x:f>
      </x:c>
      <x:c r="J95" s="63" t="str"/>
    </x:row>
    <x:row r="96">
      <x:c r="A96" s="46" t="n">
        <x:v>91</x:v>
      </x:c>
      <x:c r="B96" s="62" t="n">
        <x:v>12</x:v>
      </x:c>
      <x:c r="C96" s="62" t="n">
        <x:v>3</x:v>
      </x:c>
      <x:c r="D96" s="62" t="n">
        <x:v>6</x:v>
      </x:c>
      <x:c r="E96" s="50" t="str"/>
      <x:c r="F96" s="47" t="str">
        <x:f>IFERROR(VLOOKUP(E96,'Player Database'!$A$6:$AH$117,2,FALSE),"")</x:f>
      </x:c>
      <x:c r="G96" s="47" t="str">
        <x:f>IFERROR(VLOOKUP(E96,'Player Database'!$A$6:$AH$117,3,FALSE),"")</x:f>
      </x:c>
      <x:c r="H96" s="47" t="str"/>
      <x:c r="I96" s="47" t="str">
        <x:f>IFERROR(VLOOKUP(E96,'Player Database'!$A$6:$AH$117,20,FALSE),"")</x:f>
      </x:c>
      <x:c r="J96" s="63" t="str"/>
    </x:row>
    <x:row r="97">
      <x:c r="A97" s="46" t="n">
        <x:v>92</x:v>
      </x:c>
      <x:c r="B97" s="62" t="n">
        <x:v>12</x:v>
      </x:c>
      <x:c r="C97" s="62" t="n">
        <x:v>4</x:v>
      </x:c>
      <x:c r="D97" s="62" t="n">
        <x:v>5</x:v>
      </x:c>
      <x:c r="E97" s="50" t="str"/>
      <x:c r="F97" s="47" t="str">
        <x:f>IFERROR(VLOOKUP(E97,'Player Database'!$A$6:$AH$117,2,FALSE),"")</x:f>
      </x:c>
      <x:c r="G97" s="47" t="str">
        <x:f>IFERROR(VLOOKUP(E97,'Player Database'!$A$6:$AH$117,3,FALSE),"")</x:f>
      </x:c>
      <x:c r="H97" s="47" t="str"/>
      <x:c r="I97" s="47" t="str">
        <x:f>IFERROR(VLOOKUP(E97,'Player Database'!$A$6:$AH$117,20,FALSE),"")</x:f>
      </x:c>
      <x:c r="J97" s="63" t="str"/>
    </x:row>
    <x:row r="98">
      <x:c r="A98" s="46" t="n">
        <x:v>93</x:v>
      </x:c>
      <x:c r="B98" s="62" t="n">
        <x:v>12</x:v>
      </x:c>
      <x:c r="C98" s="62" t="n">
        <x:v>5</x:v>
      </x:c>
      <x:c r="D98" s="62" t="n">
        <x:v>4</x:v>
      </x:c>
      <x:c r="E98" s="50" t="str"/>
      <x:c r="F98" s="47" t="str">
        <x:f>IFERROR(VLOOKUP(E98,'Player Database'!$A$6:$AH$117,2,FALSE),"")</x:f>
      </x:c>
      <x:c r="G98" s="47" t="str">
        <x:f>IFERROR(VLOOKUP(E98,'Player Database'!$A$6:$AH$117,3,FALSE),"")</x:f>
      </x:c>
      <x:c r="H98" s="47" t="str"/>
      <x:c r="I98" s="47" t="str">
        <x:f>IFERROR(VLOOKUP(E98,'Player Database'!$A$6:$AH$117,20,FALSE),"")</x:f>
      </x:c>
      <x:c r="J98" s="63" t="str"/>
    </x:row>
    <x:row r="99">
      <x:c r="A99" s="46" t="n">
        <x:v>94</x:v>
      </x:c>
      <x:c r="B99" s="62" t="n">
        <x:v>12</x:v>
      </x:c>
      <x:c r="C99" s="62" t="n">
        <x:v>6</x:v>
      </x:c>
      <x:c r="D99" s="62" t="n">
        <x:v>3</x:v>
      </x:c>
      <x:c r="E99" s="50" t="str"/>
      <x:c r="F99" s="47" t="str">
        <x:f>IFERROR(VLOOKUP(E99,'Player Database'!$A$6:$AH$117,2,FALSE),"")</x:f>
      </x:c>
      <x:c r="G99" s="47" t="str">
        <x:f>IFERROR(VLOOKUP(E99,'Player Database'!$A$6:$AH$117,3,FALSE),"")</x:f>
      </x:c>
      <x:c r="H99" s="47" t="str"/>
      <x:c r="I99" s="47" t="str">
        <x:f>IFERROR(VLOOKUP(E99,'Player Database'!$A$6:$AH$117,20,FALSE),"")</x:f>
      </x:c>
      <x:c r="J99" s="63" t="str"/>
    </x:row>
    <x:row r="100">
      <x:c r="A100" s="46" t="n">
        <x:v>95</x:v>
      </x:c>
      <x:c r="B100" s="62" t="n">
        <x:v>12</x:v>
      </x:c>
      <x:c r="C100" s="62" t="n">
        <x:v>7</x:v>
      </x:c>
      <x:c r="D100" s="62" t="n">
        <x:v>2</x:v>
      </x:c>
      <x:c r="E100" s="50" t="str"/>
      <x:c r="F100" s="47" t="str">
        <x:f>IFERROR(VLOOKUP(E100,'Player Database'!$A$6:$AH$117,2,FALSE),"")</x:f>
      </x:c>
      <x:c r="G100" s="47" t="str">
        <x:f>IFERROR(VLOOKUP(E100,'Player Database'!$A$6:$AH$117,3,FALSE),"")</x:f>
      </x:c>
      <x:c r="H100" s="47" t="str"/>
      <x:c r="I100" s="47" t="str">
        <x:f>IFERROR(VLOOKUP(E100,'Player Database'!$A$6:$AH$117,20,FALSE),"")</x:f>
      </x:c>
      <x:c r="J100" s="63" t="str"/>
    </x:row>
    <x:row r="101">
      <x:c r="A101" s="46" t="n">
        <x:v>96</x:v>
      </x:c>
      <x:c r="B101" s="62" t="n">
        <x:v>12</x:v>
      </x:c>
      <x:c r="C101" s="62" t="n">
        <x:v>8</x:v>
      </x:c>
      <x:c r="D101" s="62" t="n">
        <x:v>1</x:v>
      </x:c>
      <x:c r="E101" s="50" t="str"/>
      <x:c r="F101" s="47" t="str">
        <x:f>IFERROR(VLOOKUP(E101,'Player Database'!$A$6:$AH$117,2,FALSE),"")</x:f>
      </x:c>
      <x:c r="G101" s="47" t="str">
        <x:f>IFERROR(VLOOKUP(E101,'Player Database'!$A$6:$AH$117,3,FALSE),"")</x:f>
      </x:c>
      <x:c r="H101" s="47" t="str"/>
      <x:c r="I101" s="47" t="str">
        <x:f>IFERROR(VLOOKUP(E101,'Player Database'!$A$6:$AH$117,20,FALSE),"")</x:f>
      </x:c>
      <x:c r="J101" s="63" t="str"/>
    </x:row>
    <x:row r="102">
      <x:c r="A102" s="46" t="n">
        <x:v>97</x:v>
      </x:c>
      <x:c r="B102" s="62" t="n">
        <x:v>13</x:v>
      </x:c>
      <x:c r="C102" s="62" t="n">
        <x:v>1</x:v>
      </x:c>
      <x:c r="D102" s="62" t="n">
        <x:v>1</x:v>
      </x:c>
      <x:c r="E102" s="50" t="str"/>
      <x:c r="F102" s="47" t="str">
        <x:f>IFERROR(VLOOKUP(E102,'Player Database'!$A$6:$AH$117,2,FALSE),"")</x:f>
      </x:c>
      <x:c r="G102" s="47" t="str">
        <x:f>IFERROR(VLOOKUP(E102,'Player Database'!$A$6:$AH$117,3,FALSE),"")</x:f>
      </x:c>
      <x:c r="H102" s="47" t="str"/>
      <x:c r="I102" s="47" t="str">
        <x:f>IFERROR(VLOOKUP(E102,'Player Database'!$A$6:$AH$117,20,FALSE),"")</x:f>
      </x:c>
      <x:c r="J102" s="63" t="str"/>
    </x:row>
    <x:row r="103">
      <x:c r="A103" s="46" t="n">
        <x:v>98</x:v>
      </x:c>
      <x:c r="B103" s="62" t="n">
        <x:v>13</x:v>
      </x:c>
      <x:c r="C103" s="62" t="n">
        <x:v>2</x:v>
      </x:c>
      <x:c r="D103" s="62" t="n">
        <x:v>2</x:v>
      </x:c>
      <x:c r="E103" s="50" t="str"/>
      <x:c r="F103" s="47" t="str">
        <x:f>IFERROR(VLOOKUP(E103,'Player Database'!$A$6:$AH$117,2,FALSE),"")</x:f>
      </x:c>
      <x:c r="G103" s="47" t="str">
        <x:f>IFERROR(VLOOKUP(E103,'Player Database'!$A$6:$AH$117,3,FALSE),"")</x:f>
      </x:c>
      <x:c r="H103" s="47" t="str"/>
      <x:c r="I103" s="47" t="str">
        <x:f>IFERROR(VLOOKUP(E103,'Player Database'!$A$6:$AH$117,20,FALSE),"")</x:f>
      </x:c>
      <x:c r="J103" s="63" t="str"/>
    </x:row>
    <x:row r="104">
      <x:c r="A104" s="46" t="n">
        <x:v>99</x:v>
      </x:c>
      <x:c r="B104" s="62" t="n">
        <x:v>13</x:v>
      </x:c>
      <x:c r="C104" s="62" t="n">
        <x:v>3</x:v>
      </x:c>
      <x:c r="D104" s="62" t="n">
        <x:v>3</x:v>
      </x:c>
      <x:c r="E104" s="50" t="str"/>
      <x:c r="F104" s="47" t="str">
        <x:f>IFERROR(VLOOKUP(E104,'Player Database'!$A$6:$AH$117,2,FALSE),"")</x:f>
      </x:c>
      <x:c r="G104" s="47" t="str">
        <x:f>IFERROR(VLOOKUP(E104,'Player Database'!$A$6:$AH$117,3,FALSE),"")</x:f>
      </x:c>
      <x:c r="H104" s="47" t="str"/>
      <x:c r="I104" s="47" t="str">
        <x:f>IFERROR(VLOOKUP(E104,'Player Database'!$A$6:$AH$117,20,FALSE),"")</x:f>
      </x:c>
      <x:c r="J104" s="63" t="str"/>
    </x:row>
    <x:row r="105">
      <x:c r="A105" s="46" t="n">
        <x:v>100</x:v>
      </x:c>
      <x:c r="B105" s="62" t="n">
        <x:v>13</x:v>
      </x:c>
      <x:c r="C105" s="62" t="n">
        <x:v>4</x:v>
      </x:c>
      <x:c r="D105" s="62" t="n">
        <x:v>4</x:v>
      </x:c>
      <x:c r="E105" s="50" t="str"/>
      <x:c r="F105" s="47" t="str">
        <x:f>IFERROR(VLOOKUP(E105,'Player Database'!$A$6:$AH$117,2,FALSE),"")</x:f>
      </x:c>
      <x:c r="G105" s="47" t="str">
        <x:f>IFERROR(VLOOKUP(E105,'Player Database'!$A$6:$AH$117,3,FALSE),"")</x:f>
      </x:c>
      <x:c r="H105" s="47" t="str"/>
      <x:c r="I105" s="47" t="str">
        <x:f>IFERROR(VLOOKUP(E105,'Player Database'!$A$6:$AH$117,20,FALSE),"")</x:f>
      </x:c>
      <x:c r="J105" s="63" t="str"/>
    </x:row>
    <x:row r="106">
      <x:c r="A106" s="46" t="n">
        <x:v>101</x:v>
      </x:c>
      <x:c r="B106" s="62" t="n">
        <x:v>13</x:v>
      </x:c>
      <x:c r="C106" s="62" t="n">
        <x:v>5</x:v>
      </x:c>
      <x:c r="D106" s="62" t="n">
        <x:v>5</x:v>
      </x:c>
      <x:c r="E106" s="50" t="str"/>
      <x:c r="F106" s="47" t="str">
        <x:f>IFERROR(VLOOKUP(E106,'Player Database'!$A$6:$AH$117,2,FALSE),"")</x:f>
      </x:c>
      <x:c r="G106" s="47" t="str">
        <x:f>IFERROR(VLOOKUP(E106,'Player Database'!$A$6:$AH$117,3,FALSE),"")</x:f>
      </x:c>
      <x:c r="H106" s="47" t="str"/>
      <x:c r="I106" s="47" t="str">
        <x:f>IFERROR(VLOOKUP(E106,'Player Database'!$A$6:$AH$117,20,FALSE),"")</x:f>
      </x:c>
      <x:c r="J106" s="63" t="str"/>
    </x:row>
    <x:row r="107">
      <x:c r="A107" s="46" t="n">
        <x:v>102</x:v>
      </x:c>
      <x:c r="B107" s="62" t="n">
        <x:v>13</x:v>
      </x:c>
      <x:c r="C107" s="62" t="n">
        <x:v>6</x:v>
      </x:c>
      <x:c r="D107" s="62" t="n">
        <x:v>6</x:v>
      </x:c>
      <x:c r="E107" s="50" t="str"/>
      <x:c r="F107" s="47" t="str">
        <x:f>IFERROR(VLOOKUP(E107,'Player Database'!$A$6:$AH$117,2,FALSE),"")</x:f>
      </x:c>
      <x:c r="G107" s="47" t="str">
        <x:f>IFERROR(VLOOKUP(E107,'Player Database'!$A$6:$AH$117,3,FALSE),"")</x:f>
      </x:c>
      <x:c r="H107" s="47" t="str"/>
      <x:c r="I107" s="47" t="str">
        <x:f>IFERROR(VLOOKUP(E107,'Player Database'!$A$6:$AH$117,20,FALSE),"")</x:f>
      </x:c>
      <x:c r="J107" s="63" t="str"/>
    </x:row>
    <x:row r="108">
      <x:c r="A108" s="46" t="n">
        <x:v>103</x:v>
      </x:c>
      <x:c r="B108" s="62" t="n">
        <x:v>13</x:v>
      </x:c>
      <x:c r="C108" s="62" t="n">
        <x:v>7</x:v>
      </x:c>
      <x:c r="D108" s="62" t="n">
        <x:v>7</x:v>
      </x:c>
      <x:c r="E108" s="50" t="str"/>
      <x:c r="F108" s="47" t="str">
        <x:f>IFERROR(VLOOKUP(E108,'Player Database'!$A$6:$AH$117,2,FALSE),"")</x:f>
      </x:c>
      <x:c r="G108" s="47" t="str">
        <x:f>IFERROR(VLOOKUP(E108,'Player Database'!$A$6:$AH$117,3,FALSE),"")</x:f>
      </x:c>
      <x:c r="H108" s="47" t="str"/>
      <x:c r="I108" s="47" t="str">
        <x:f>IFERROR(VLOOKUP(E108,'Player Database'!$A$6:$AH$117,20,FALSE),"")</x:f>
      </x:c>
      <x:c r="J108" s="63" t="str"/>
    </x:row>
    <x:row r="109">
      <x:c r="A109" s="46" t="n">
        <x:v>104</x:v>
      </x:c>
      <x:c r="B109" s="62" t="n">
        <x:v>13</x:v>
      </x:c>
      <x:c r="C109" s="62" t="n">
        <x:v>8</x:v>
      </x:c>
      <x:c r="D109" s="62" t="n">
        <x:v>8</x:v>
      </x:c>
      <x:c r="E109" s="50" t="str"/>
      <x:c r="F109" s="47" t="str">
        <x:f>IFERROR(VLOOKUP(E109,'Player Database'!$A$6:$AH$117,2,FALSE),"")</x:f>
      </x:c>
      <x:c r="G109" s="47" t="str">
        <x:f>IFERROR(VLOOKUP(E109,'Player Database'!$A$6:$AH$117,3,FALSE),"")</x:f>
      </x:c>
      <x:c r="H109" s="47" t="str">
        <x:v>YES</x:v>
      </x:c>
      <x:c r="I109" s="47" t="str">
        <x:f>IFERROR(VLOOKUP(E109,'Player Database'!$A$6:$AH$117,20,FALSE),"")</x:f>
      </x:c>
      <x:c r="J109" s="63" t="str"/>
    </x:row>
    <x:row r="110">
      <x:c r="A110" s="46" t="n">
        <x:v>105</x:v>
      </x:c>
      <x:c r="B110" s="62" t="n">
        <x:v>14</x:v>
      </x:c>
      <x:c r="C110" s="62" t="n">
        <x:v>1</x:v>
      </x:c>
      <x:c r="D110" s="62" t="n">
        <x:v>8</x:v>
      </x:c>
      <x:c r="E110" s="50" t="str"/>
      <x:c r="F110" s="47" t="str">
        <x:f>IFERROR(VLOOKUP(E110,'Player Database'!$A$6:$AH$117,2,FALSE),"")</x:f>
      </x:c>
      <x:c r="G110" s="47" t="str">
        <x:f>IFERROR(VLOOKUP(E110,'Player Database'!$A$6:$AH$117,3,FALSE),"")</x:f>
      </x:c>
      <x:c r="H110" s="47" t="str">
        <x:v>YES</x:v>
      </x:c>
      <x:c r="I110" s="47" t="str">
        <x:f>IFERROR(VLOOKUP(E110,'Player Database'!$A$6:$AH$117,20,FALSE),"")</x:f>
      </x:c>
      <x:c r="J110" s="63" t="str"/>
    </x:row>
    <x:row r="111">
      <x:c r="A111" s="46" t="n">
        <x:v>106</x:v>
      </x:c>
      <x:c r="B111" s="62" t="n">
        <x:v>14</x:v>
      </x:c>
      <x:c r="C111" s="62" t="n">
        <x:v>2</x:v>
      </x:c>
      <x:c r="D111" s="62" t="n">
        <x:v>7</x:v>
      </x:c>
      <x:c r="E111" s="50" t="str"/>
      <x:c r="F111" s="47" t="str">
        <x:f>IFERROR(VLOOKUP(E111,'Player Database'!$A$6:$AH$117,2,FALSE),"")</x:f>
      </x:c>
      <x:c r="G111" s="47" t="str">
        <x:f>IFERROR(VLOOKUP(E111,'Player Database'!$A$6:$AH$117,3,FALSE),"")</x:f>
      </x:c>
      <x:c r="H111" s="47" t="str"/>
      <x:c r="I111" s="47" t="str">
        <x:f>IFERROR(VLOOKUP(E111,'Player Database'!$A$6:$AH$117,20,FALSE),"")</x:f>
      </x:c>
      <x:c r="J111" s="63" t="str"/>
    </x:row>
    <x:row r="112">
      <x:c r="A112" s="46" t="n">
        <x:v>107</x:v>
      </x:c>
      <x:c r="B112" s="62" t="n">
        <x:v>14</x:v>
      </x:c>
      <x:c r="C112" s="62" t="n">
        <x:v>3</x:v>
      </x:c>
      <x:c r="D112" s="62" t="n">
        <x:v>6</x:v>
      </x:c>
      <x:c r="E112" s="50" t="str"/>
      <x:c r="F112" s="47" t="str">
        <x:f>IFERROR(VLOOKUP(E112,'Player Database'!$A$6:$AH$117,2,FALSE),"")</x:f>
      </x:c>
      <x:c r="G112" s="47" t="str">
        <x:f>IFERROR(VLOOKUP(E112,'Player Database'!$A$6:$AH$117,3,FALSE),"")</x:f>
      </x:c>
      <x:c r="H112" s="47" t="str"/>
      <x:c r="I112" s="47" t="str">
        <x:f>IFERROR(VLOOKUP(E112,'Player Database'!$A$6:$AH$117,20,FALSE),"")</x:f>
      </x:c>
      <x:c r="J112" s="63" t="str"/>
    </x:row>
    <x:row r="113">
      <x:c r="A113" s="46" t="n">
        <x:v>108</x:v>
      </x:c>
      <x:c r="B113" s="62" t="n">
        <x:v>14</x:v>
      </x:c>
      <x:c r="C113" s="62" t="n">
        <x:v>4</x:v>
      </x:c>
      <x:c r="D113" s="62" t="n">
        <x:v>5</x:v>
      </x:c>
      <x:c r="E113" s="50" t="str"/>
      <x:c r="F113" s="47" t="str">
        <x:f>IFERROR(VLOOKUP(E113,'Player Database'!$A$6:$AH$117,2,FALSE),"")</x:f>
      </x:c>
      <x:c r="G113" s="47" t="str">
        <x:f>IFERROR(VLOOKUP(E113,'Player Database'!$A$6:$AH$117,3,FALSE),"")</x:f>
      </x:c>
      <x:c r="H113" s="47" t="str"/>
      <x:c r="I113" s="47" t="str">
        <x:f>IFERROR(VLOOKUP(E113,'Player Database'!$A$6:$AH$117,20,FALSE),"")</x:f>
      </x:c>
      <x:c r="J113" s="63" t="str"/>
    </x:row>
    <x:row r="114">
      <x:c r="A114" s="46" t="n">
        <x:v>109</x:v>
      </x:c>
      <x:c r="B114" s="62" t="n">
        <x:v>14</x:v>
      </x:c>
      <x:c r="C114" s="62" t="n">
        <x:v>5</x:v>
      </x:c>
      <x:c r="D114" s="62" t="n">
        <x:v>4</x:v>
      </x:c>
      <x:c r="E114" s="50" t="str"/>
      <x:c r="F114" s="47" t="str">
        <x:f>IFERROR(VLOOKUP(E114,'Player Database'!$A$6:$AH$117,2,FALSE),"")</x:f>
      </x:c>
      <x:c r="G114" s="47" t="str">
        <x:f>IFERROR(VLOOKUP(E114,'Player Database'!$A$6:$AH$117,3,FALSE),"")</x:f>
      </x:c>
      <x:c r="H114" s="47" t="str"/>
      <x:c r="I114" s="47" t="str">
        <x:f>IFERROR(VLOOKUP(E114,'Player Database'!$A$6:$AH$117,20,FALSE),"")</x:f>
      </x:c>
      <x:c r="J114" s="63" t="str"/>
    </x:row>
    <x:row r="115">
      <x:c r="A115" s="46" t="n">
        <x:v>110</x:v>
      </x:c>
      <x:c r="B115" s="62" t="n">
        <x:v>14</x:v>
      </x:c>
      <x:c r="C115" s="62" t="n">
        <x:v>6</x:v>
      </x:c>
      <x:c r="D115" s="62" t="n">
        <x:v>3</x:v>
      </x:c>
      <x:c r="E115" s="50" t="str"/>
      <x:c r="F115" s="47" t="str">
        <x:f>IFERROR(VLOOKUP(E115,'Player Database'!$A$6:$AH$117,2,FALSE),"")</x:f>
      </x:c>
      <x:c r="G115" s="47" t="str">
        <x:f>IFERROR(VLOOKUP(E115,'Player Database'!$A$6:$AH$117,3,FALSE),"")</x:f>
      </x:c>
      <x:c r="H115" s="47" t="str"/>
      <x:c r="I115" s="47" t="str">
        <x:f>IFERROR(VLOOKUP(E115,'Player Database'!$A$6:$AH$117,20,FALSE),"")</x:f>
      </x:c>
      <x:c r="J115" s="63" t="str"/>
    </x:row>
    <x:row r="116">
      <x:c r="A116" s="46" t="n">
        <x:v>111</x:v>
      </x:c>
      <x:c r="B116" s="62" t="n">
        <x:v>14</x:v>
      </x:c>
      <x:c r="C116" s="62" t="n">
        <x:v>7</x:v>
      </x:c>
      <x:c r="D116" s="62" t="n">
        <x:v>2</x:v>
      </x:c>
      <x:c r="E116" s="50" t="str"/>
      <x:c r="F116" s="47" t="str">
        <x:f>IFERROR(VLOOKUP(E116,'Player Database'!$A$6:$AH$117,2,FALSE),"")</x:f>
      </x:c>
      <x:c r="G116" s="47" t="str">
        <x:f>IFERROR(VLOOKUP(E116,'Player Database'!$A$6:$AH$117,3,FALSE),"")</x:f>
      </x:c>
      <x:c r="H116" s="47" t="str"/>
      <x:c r="I116" s="47" t="str">
        <x:f>IFERROR(VLOOKUP(E116,'Player Database'!$A$6:$AH$117,20,FALSE),"")</x:f>
      </x:c>
      <x:c r="J116" s="63" t="str"/>
    </x:row>
    <x:row r="117">
      <x:c r="A117" s="46" t="n">
        <x:v>112</x:v>
      </x:c>
      <x:c r="B117" s="62" t="n">
        <x:v>14</x:v>
      </x:c>
      <x:c r="C117" s="62" t="n">
        <x:v>8</x:v>
      </x:c>
      <x:c r="D117" s="62" t="n">
        <x:v>1</x:v>
      </x:c>
      <x:c r="E117" s="50" t="str"/>
      <x:c r="F117" s="47" t="str">
        <x:f>IFERROR(VLOOKUP(E117,'Player Database'!$A$6:$AH$117,2,FALSE),"")</x:f>
      </x:c>
      <x:c r="G117" s="47" t="str">
        <x:f>IFERROR(VLOOKUP(E117,'Player Database'!$A$6:$AH$117,3,FALSE),"")</x:f>
      </x:c>
      <x:c r="H117" s="47" t="str"/>
      <x:c r="I117" s="47" t="str">
        <x:f>IFERROR(VLOOKUP(E117,'Player Database'!$A$6:$AH$117,20,FALSE),"")</x:f>
      </x:c>
      <x:c r="J117" s="63" t="str"/>
    </x:row>
    <x:row r="118">
      <x:c r="A118" s="46" t="n">
        <x:v>113</x:v>
      </x:c>
      <x:c r="B118" s="62" t="n">
        <x:v>15</x:v>
      </x:c>
      <x:c r="C118" s="62" t="n">
        <x:v>1</x:v>
      </x:c>
      <x:c r="D118" s="62" t="n">
        <x:v>1</x:v>
      </x:c>
      <x:c r="E118" s="50" t="str"/>
      <x:c r="F118" s="47" t="str">
        <x:f>IFERROR(VLOOKUP(E118,'Player Database'!$A$6:$AH$117,2,FALSE),"")</x:f>
      </x:c>
      <x:c r="G118" s="47" t="str">
        <x:f>IFERROR(VLOOKUP(E118,'Player Database'!$A$6:$AH$117,3,FALSE),"")</x:f>
      </x:c>
      <x:c r="H118" s="47" t="str"/>
      <x:c r="I118" s="47" t="str">
        <x:f>IFERROR(VLOOKUP(E118,'Player Database'!$A$6:$AH$117,20,FALSE),"")</x:f>
      </x:c>
      <x:c r="J118" s="63" t="str"/>
    </x:row>
    <x:row r="119">
      <x:c r="A119" s="46" t="n">
        <x:v>114</x:v>
      </x:c>
      <x:c r="B119" s="62" t="n">
        <x:v>15</x:v>
      </x:c>
      <x:c r="C119" s="62" t="n">
        <x:v>2</x:v>
      </x:c>
      <x:c r="D119" s="62" t="n">
        <x:v>2</x:v>
      </x:c>
      <x:c r="E119" s="50" t="str"/>
      <x:c r="F119" s="47" t="str">
        <x:f>IFERROR(VLOOKUP(E119,'Player Database'!$A$6:$AH$117,2,FALSE),"")</x:f>
      </x:c>
      <x:c r="G119" s="47" t="str">
        <x:f>IFERROR(VLOOKUP(E119,'Player Database'!$A$6:$AH$117,3,FALSE),"")</x:f>
      </x:c>
      <x:c r="H119" s="47" t="str"/>
      <x:c r="I119" s="47" t="str">
        <x:f>IFERROR(VLOOKUP(E119,'Player Database'!$A$6:$AH$117,20,FALSE),"")</x:f>
      </x:c>
      <x:c r="J119" s="63" t="str"/>
    </x:row>
    <x:row r="120">
      <x:c r="A120" s="46" t="n">
        <x:v>115</x:v>
      </x:c>
      <x:c r="B120" s="62" t="n">
        <x:v>15</x:v>
      </x:c>
      <x:c r="C120" s="62" t="n">
        <x:v>3</x:v>
      </x:c>
      <x:c r="D120" s="62" t="n">
        <x:v>3</x:v>
      </x:c>
      <x:c r="E120" s="50" t="str"/>
      <x:c r="F120" s="47" t="str">
        <x:f>IFERROR(VLOOKUP(E120,'Player Database'!$A$6:$AH$117,2,FALSE),"")</x:f>
      </x:c>
      <x:c r="G120" s="47" t="str">
        <x:f>IFERROR(VLOOKUP(E120,'Player Database'!$A$6:$AH$117,3,FALSE),"")</x:f>
      </x:c>
      <x:c r="H120" s="47" t="str"/>
      <x:c r="I120" s="47" t="str">
        <x:f>IFERROR(VLOOKUP(E120,'Player Database'!$A$6:$AH$117,20,FALSE),"")</x:f>
      </x:c>
      <x:c r="J120" s="63" t="str"/>
    </x:row>
    <x:row r="121">
      <x:c r="A121" s="46" t="n">
        <x:v>116</x:v>
      </x:c>
      <x:c r="B121" s="62" t="n">
        <x:v>15</x:v>
      </x:c>
      <x:c r="C121" s="62" t="n">
        <x:v>4</x:v>
      </x:c>
      <x:c r="D121" s="62" t="n">
        <x:v>4</x:v>
      </x:c>
      <x:c r="E121" s="50" t="str"/>
      <x:c r="F121" s="47" t="str">
        <x:f>IFERROR(VLOOKUP(E121,'Player Database'!$A$6:$AH$117,2,FALSE),"")</x:f>
      </x:c>
      <x:c r="G121" s="47" t="str">
        <x:f>IFERROR(VLOOKUP(E121,'Player Database'!$A$6:$AH$117,3,FALSE),"")</x:f>
      </x:c>
      <x:c r="H121" s="47" t="str"/>
      <x:c r="I121" s="47" t="str">
        <x:f>IFERROR(VLOOKUP(E121,'Player Database'!$A$6:$AH$117,20,FALSE),"")</x:f>
      </x:c>
      <x:c r="J121" s="63" t="str"/>
    </x:row>
    <x:row r="122">
      <x:c r="A122" s="46" t="n">
        <x:v>117</x:v>
      </x:c>
      <x:c r="B122" s="62" t="n">
        <x:v>15</x:v>
      </x:c>
      <x:c r="C122" s="62" t="n">
        <x:v>5</x:v>
      </x:c>
      <x:c r="D122" s="62" t="n">
        <x:v>5</x:v>
      </x:c>
      <x:c r="E122" s="50" t="str"/>
      <x:c r="F122" s="47" t="str">
        <x:f>IFERROR(VLOOKUP(E122,'Player Database'!$A$6:$AH$117,2,FALSE),"")</x:f>
      </x:c>
      <x:c r="G122" s="47" t="str">
        <x:f>IFERROR(VLOOKUP(E122,'Player Database'!$A$6:$AH$117,3,FALSE),"")</x:f>
      </x:c>
      <x:c r="H122" s="47" t="str"/>
      <x:c r="I122" s="47" t="str">
        <x:f>IFERROR(VLOOKUP(E122,'Player Database'!$A$6:$AH$117,20,FALSE),"")</x:f>
      </x:c>
      <x:c r="J122" s="63" t="str"/>
    </x:row>
    <x:row r="123">
      <x:c r="A123" s="46" t="n">
        <x:v>118</x:v>
      </x:c>
      <x:c r="B123" s="62" t="n">
        <x:v>15</x:v>
      </x:c>
      <x:c r="C123" s="62" t="n">
        <x:v>6</x:v>
      </x:c>
      <x:c r="D123" s="62" t="n">
        <x:v>6</x:v>
      </x:c>
      <x:c r="E123" s="50" t="str"/>
      <x:c r="F123" s="47" t="str">
        <x:f>IFERROR(VLOOKUP(E123,'Player Database'!$A$6:$AH$117,2,FALSE),"")</x:f>
      </x:c>
      <x:c r="G123" s="47" t="str">
        <x:f>IFERROR(VLOOKUP(E123,'Player Database'!$A$6:$AH$117,3,FALSE),"")</x:f>
      </x:c>
      <x:c r="H123" s="47" t="str"/>
      <x:c r="I123" s="47" t="str">
        <x:f>IFERROR(VLOOKUP(E123,'Player Database'!$A$6:$AH$117,20,FALSE),"")</x:f>
      </x:c>
      <x:c r="J123" s="63" t="str"/>
    </x:row>
    <x:row r="124">
      <x:c r="A124" s="46" t="n">
        <x:v>119</x:v>
      </x:c>
      <x:c r="B124" s="62" t="n">
        <x:v>15</x:v>
      </x:c>
      <x:c r="C124" s="62" t="n">
        <x:v>7</x:v>
      </x:c>
      <x:c r="D124" s="62" t="n">
        <x:v>7</x:v>
      </x:c>
      <x:c r="E124" s="50" t="str"/>
      <x:c r="F124" s="47" t="str">
        <x:f>IFERROR(VLOOKUP(E124,'Player Database'!$A$6:$AH$117,2,FALSE),"")</x:f>
      </x:c>
      <x:c r="G124" s="47" t="str">
        <x:f>IFERROR(VLOOKUP(E124,'Player Database'!$A$6:$AH$117,3,FALSE),"")</x:f>
      </x:c>
      <x:c r="H124" s="47" t="str"/>
      <x:c r="I124" s="47" t="str">
        <x:f>IFERROR(VLOOKUP(E124,'Player Database'!$A$6:$AH$117,20,FALSE),"")</x:f>
      </x:c>
      <x:c r="J124" s="63" t="str"/>
    </x:row>
    <x:row r="125">
      <x:c r="A125" s="46" t="n">
        <x:v>120</x:v>
      </x:c>
      <x:c r="B125" s="62" t="n">
        <x:v>15</x:v>
      </x:c>
      <x:c r="C125" s="62" t="n">
        <x:v>8</x:v>
      </x:c>
      <x:c r="D125" s="62" t="n">
        <x:v>8</x:v>
      </x:c>
      <x:c r="E125" s="50" t="str"/>
      <x:c r="F125" s="47" t="str">
        <x:f>IFERROR(VLOOKUP(E125,'Player Database'!$A$6:$AH$117,2,FALSE),"")</x:f>
      </x:c>
      <x:c r="G125" s="47" t="str">
        <x:f>IFERROR(VLOOKUP(E125,'Player Database'!$A$6:$AH$117,3,FALSE),"")</x:f>
      </x:c>
      <x:c r="H125" s="47" t="str">
        <x:v>YES</x:v>
      </x:c>
      <x:c r="I125" s="47" t="str">
        <x:f>IFERROR(VLOOKUP(E125,'Player Database'!$A$6:$AH$117,20,FALSE),"")</x:f>
      </x:c>
      <x:c r="J125" s="63" t="str"/>
    </x:row>
    <x:row r="126">
      <x:c r="A126" s="46" t="n">
        <x:v>121</x:v>
      </x:c>
      <x:c r="B126" s="62" t="n">
        <x:v>16</x:v>
      </x:c>
      <x:c r="C126" s="62" t="n">
        <x:v>1</x:v>
      </x:c>
      <x:c r="D126" s="62" t="n">
        <x:v>8</x:v>
      </x:c>
      <x:c r="E126" s="50" t="str"/>
      <x:c r="F126" s="47" t="str">
        <x:f>IFERROR(VLOOKUP(E126,'Player Database'!$A$6:$AH$117,2,FALSE),"")</x:f>
      </x:c>
      <x:c r="G126" s="47" t="str">
        <x:f>IFERROR(VLOOKUP(E126,'Player Database'!$A$6:$AH$117,3,FALSE),"")</x:f>
      </x:c>
      <x:c r="H126" s="47" t="str">
        <x:v>YES</x:v>
      </x:c>
      <x:c r="I126" s="47" t="str">
        <x:f>IFERROR(VLOOKUP(E126,'Player Database'!$A$6:$AH$117,20,FALSE),"")</x:f>
      </x:c>
      <x:c r="J126" s="63" t="str"/>
    </x:row>
    <x:row r="127">
      <x:c r="A127" s="46" t="n">
        <x:v>122</x:v>
      </x:c>
      <x:c r="B127" s="62" t="n">
        <x:v>16</x:v>
      </x:c>
      <x:c r="C127" s="62" t="n">
        <x:v>2</x:v>
      </x:c>
      <x:c r="D127" s="62" t="n">
        <x:v>7</x:v>
      </x:c>
      <x:c r="E127" s="50" t="str"/>
      <x:c r="F127" s="47" t="str">
        <x:f>IFERROR(VLOOKUP(E127,'Player Database'!$A$6:$AH$117,2,FALSE),"")</x:f>
      </x:c>
      <x:c r="G127" s="47" t="str">
        <x:f>IFERROR(VLOOKUP(E127,'Player Database'!$A$6:$AH$117,3,FALSE),"")</x:f>
      </x:c>
      <x:c r="H127" s="47" t="str"/>
      <x:c r="I127" s="47" t="str">
        <x:f>IFERROR(VLOOKUP(E127,'Player Database'!$A$6:$AH$117,20,FALSE),"")</x:f>
      </x:c>
      <x:c r="J127" s="63" t="str"/>
    </x:row>
    <x:row r="128">
      <x:c r="A128" s="46" t="n">
        <x:v>123</x:v>
      </x:c>
      <x:c r="B128" s="62" t="n">
        <x:v>16</x:v>
      </x:c>
      <x:c r="C128" s="62" t="n">
        <x:v>3</x:v>
      </x:c>
      <x:c r="D128" s="62" t="n">
        <x:v>6</x:v>
      </x:c>
      <x:c r="E128" s="50" t="str"/>
      <x:c r="F128" s="47" t="str">
        <x:f>IFERROR(VLOOKUP(E128,'Player Database'!$A$6:$AH$117,2,FALSE),"")</x:f>
      </x:c>
      <x:c r="G128" s="47" t="str">
        <x:f>IFERROR(VLOOKUP(E128,'Player Database'!$A$6:$AH$117,3,FALSE),"")</x:f>
      </x:c>
      <x:c r="H128" s="47" t="str"/>
      <x:c r="I128" s="47" t="str">
        <x:f>IFERROR(VLOOKUP(E128,'Player Database'!$A$6:$AH$117,20,FALSE),"")</x:f>
      </x:c>
      <x:c r="J128" s="63" t="str"/>
    </x:row>
    <x:row r="129">
      <x:c r="A129" s="46" t="n">
        <x:v>124</x:v>
      </x:c>
      <x:c r="B129" s="62" t="n">
        <x:v>16</x:v>
      </x:c>
      <x:c r="C129" s="62" t="n">
        <x:v>4</x:v>
      </x:c>
      <x:c r="D129" s="62" t="n">
        <x:v>5</x:v>
      </x:c>
      <x:c r="E129" s="50" t="str"/>
      <x:c r="F129" s="47" t="str">
        <x:f>IFERROR(VLOOKUP(E129,'Player Database'!$A$6:$AH$117,2,FALSE),"")</x:f>
      </x:c>
      <x:c r="G129" s="47" t="str">
        <x:f>IFERROR(VLOOKUP(E129,'Player Database'!$A$6:$AH$117,3,FALSE),"")</x:f>
      </x:c>
      <x:c r="H129" s="47" t="str"/>
      <x:c r="I129" s="47" t="str">
        <x:f>IFERROR(VLOOKUP(E129,'Player Database'!$A$6:$AH$117,20,FALSE),"")</x:f>
      </x:c>
      <x:c r="J129" s="63" t="str"/>
    </x:row>
    <x:row r="130">
      <x:c r="A130" s="46" t="n">
        <x:v>125</x:v>
      </x:c>
      <x:c r="B130" s="62" t="n">
        <x:v>16</x:v>
      </x:c>
      <x:c r="C130" s="62" t="n">
        <x:v>5</x:v>
      </x:c>
      <x:c r="D130" s="62" t="n">
        <x:v>4</x:v>
      </x:c>
      <x:c r="E130" s="50" t="str"/>
      <x:c r="F130" s="47" t="str">
        <x:f>IFERROR(VLOOKUP(E130,'Player Database'!$A$6:$AH$117,2,FALSE),"")</x:f>
      </x:c>
      <x:c r="G130" s="47" t="str">
        <x:f>IFERROR(VLOOKUP(E130,'Player Database'!$A$6:$AH$117,3,FALSE),"")</x:f>
      </x:c>
      <x:c r="H130" s="47" t="str"/>
      <x:c r="I130" s="47" t="str">
        <x:f>IFERROR(VLOOKUP(E130,'Player Database'!$A$6:$AH$117,20,FALSE),"")</x:f>
      </x:c>
      <x:c r="J130" s="63" t="str"/>
    </x:row>
    <x:row r="131">
      <x:c r="A131" s="46" t="n">
        <x:v>126</x:v>
      </x:c>
      <x:c r="B131" s="62" t="n">
        <x:v>16</x:v>
      </x:c>
      <x:c r="C131" s="62" t="n">
        <x:v>6</x:v>
      </x:c>
      <x:c r="D131" s="62" t="n">
        <x:v>3</x:v>
      </x:c>
      <x:c r="E131" s="50" t="str"/>
      <x:c r="F131" s="47" t="str">
        <x:f>IFERROR(VLOOKUP(E131,'Player Database'!$A$6:$AH$117,2,FALSE),"")</x:f>
      </x:c>
      <x:c r="G131" s="47" t="str">
        <x:f>IFERROR(VLOOKUP(E131,'Player Database'!$A$6:$AH$117,3,FALSE),"")</x:f>
      </x:c>
      <x:c r="H131" s="47" t="str"/>
      <x:c r="I131" s="47" t="str">
        <x:f>IFERROR(VLOOKUP(E131,'Player Database'!$A$6:$AH$117,20,FALSE),"")</x:f>
      </x:c>
      <x:c r="J131" s="63" t="str"/>
    </x:row>
    <x:row r="132">
      <x:c r="A132" s="46" t="n">
        <x:v>127</x:v>
      </x:c>
      <x:c r="B132" s="62" t="n">
        <x:v>16</x:v>
      </x:c>
      <x:c r="C132" s="62" t="n">
        <x:v>7</x:v>
      </x:c>
      <x:c r="D132" s="62" t="n">
        <x:v>2</x:v>
      </x:c>
      <x:c r="E132" s="50" t="str"/>
      <x:c r="F132" s="47" t="str">
        <x:f>IFERROR(VLOOKUP(E132,'Player Database'!$A$6:$AH$117,2,FALSE),"")</x:f>
      </x:c>
      <x:c r="G132" s="47" t="str">
        <x:f>IFERROR(VLOOKUP(E132,'Player Database'!$A$6:$AH$117,3,FALSE),"")</x:f>
      </x:c>
      <x:c r="H132" s="47" t="str"/>
      <x:c r="I132" s="47" t="str">
        <x:f>IFERROR(VLOOKUP(E132,'Player Database'!$A$6:$AH$117,20,FALSE),"")</x:f>
      </x:c>
      <x:c r="J132" s="63" t="str"/>
    </x:row>
    <x:row r="133">
      <x:c r="A133" s="53" t="n">
        <x:v>128</x:v>
      </x:c>
      <x:c r="B133" s="64" t="n">
        <x:v>16</x:v>
      </x:c>
      <x:c r="C133" s="64" t="n">
        <x:v>8</x:v>
      </x:c>
      <x:c r="D133" s="64" t="n">
        <x:v>1</x:v>
      </x:c>
      <x:c r="E133" s="57" t="str"/>
      <x:c r="F133" s="54" t="str">
        <x:f>IFERROR(VLOOKUP(E133,'Player Database'!$A$6:$AH$117,2,FALSE),"")</x:f>
      </x:c>
      <x:c r="G133" s="54" t="str">
        <x:f>IFERROR(VLOOKUP(E133,'Player Database'!$A$6:$AH$117,3,FALSE),"")</x:f>
      </x:c>
      <x:c r="H133" s="54" t="str"/>
      <x:c r="I133" s="54" t="str">
        <x:f>IFERROR(VLOOKUP(E133,'Player Database'!$A$6:$AH$117,20,FALSE),"")</x:f>
      </x:c>
      <x:c r="J133" s="65" t="str"/>
    </x:row>
  </x:sheetData>
  <x:mergeCells>
    <x:mergeCell ref="A1:J2"/>
    <x:mergeCell ref="L1:O1"/>
  </x:mergeCells>
  <x:conditionalFormatting sqref="A6:J133">
    <x:cfRule type="expression" dxfId="6" priority="1">
      <x:formula>$D6=8</x:formula>
    </x:cfRule>
  </x:conditionalFormatting>
  <x:conditionalFormatting sqref="I6:I133">
    <x:cfRule type="containsText" dxfId="7" priority="2" operator="containsText" text="Priority"/>
  </x:conditionalFormatting>
  <x:conditionalFormatting sqref="O3:O7">
    <x:cfRule type="containsText" dxfId="8" priority="3" operator="containsText" text="On plan"/>
  </x:conditionalFormatting>
  <x:dataValidations count="1">
    <x:dataValidation type="list" sqref="E6:E133">
      <x:formula1>'Player Database'!$A$6:$A$117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35" hidden="0" customWidth="1"/>
    <x:col min="6" max="6" width="35" hidden="0" customWidth="1"/>
    <x:col min="7" max="7" width="35" hidden="0" customWidth="1"/>
    <x:col min="8" max="8" width="35" hidden="0" customWidth="1"/>
  </x:cols>
  <x:sheetData>
    <x:row r="1">
      <x:c r="A1" s="3" t="str">
        <x:v>ROSTER CONSTRUCTION — PORTFOLIO GUARDRAILS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3"/>
    <x:row r="4" ht="15" hidden="0" customHeight="1">
      <x:c r="A4" s="27" t="str">
        <x:v>Position</x:v>
      </x:c>
      <x:c r="B4" s="27" t="str">
        <x:v>Minimum</x:v>
      </x:c>
      <x:c r="C4" s="27" t="str">
        <x:v>Preferred</x:v>
      </x:c>
      <x:c r="D4" s="27" t="str">
        <x:v>Maximum</x:v>
      </x:c>
      <x:c r="E4" s="27" t="str">
        <x:v>Draft timing</x:v>
      </x:c>
      <x:c r="F4" s="27" t="str">
        <x:v>What we want</x:v>
      </x:c>
      <x:c r="G4" s="27" t="str">
        <x:v>What we reject</x:v>
      </x:c>
      <x:c r="H4" s="27" t="str">
        <x:v>Waiver stance</x:v>
      </x:c>
    </x:row>
    <x:row r="5" ht="54" hidden="0" customHeight="1">
      <x:c r="A5" s="21" t="str">
        <x:v>QB</x:v>
      </x:c>
      <x:c r="B5" s="21" t="n">
        <x:v>1</x:v>
      </x:c>
      <x:c r="C5" s="21" t="n">
        <x:v>1</x:v>
      </x:c>
      <x:c r="D5" s="21" t="n">
        <x:v>1</x:v>
      </x:c>
      <x:c r="E5" s="21" t="str">
        <x:v>Rounds 7–12</x:v>
      </x:c>
      <x:c r="F5" s="21" t="str">
        <x:v>Elite rushing or discounted top-eight passing</x:v>
      </x:c>
      <x:c r="G5" s="21" t="str">
        <x:v>Backup QB</x:v>
      </x:c>
      <x:c r="H5" s="21" t="str">
        <x:v>Stream aggressively if late-QB plan misses</x:v>
      </x:c>
    </x:row>
    <x:row r="6" ht="54" hidden="0" customHeight="1">
      <x:c r="A6" s="21" t="str">
        <x:v>RB</x:v>
      </x:c>
      <x:c r="B6" s="21" t="n">
        <x:v>5</x:v>
      </x:c>
      <x:c r="C6" s="21" t="n">
        <x:v>6</x:v>
      </x:c>
      <x:c r="D6" s="21" t="n">
        <x:v>7</x:v>
      </x:c>
      <x:c r="E6" s="21" t="str">
        <x:v>Every phase</x:v>
      </x:c>
      <x:c r="F6" s="21" t="str">
        <x:v>One anchor + ambiguous workloads + contingent value</x:v>
      </x:c>
      <x:c r="G6" s="21" t="str">
        <x:v>Low-ceiling committee backs with no receiving/path</x:v>
      </x:c>
      <x:c r="H6" s="21" t="str">
        <x:v>Churn final RB spots</x:v>
      </x:c>
    </x:row>
    <x:row r="7" ht="54" hidden="0" customHeight="1">
      <x:c r="A7" s="21" t="str">
        <x:v>WR</x:v>
      </x:c>
      <x:c r="B7" s="21" t="n">
        <x:v>5</x:v>
      </x:c>
      <x:c r="C7" s="21" t="n">
        <x:v>6</x:v>
      </x:c>
      <x:c r="D7" s="21" t="n">
        <x:v>7</x:v>
      </x:c>
      <x:c r="E7" s="21" t="str">
        <x:v>Heavy through Round 10</x:v>
      </x:c>
      <x:c r="F7" s="21" t="str">
        <x:v>Target earners plus spike-week profiles</x:v>
      </x:c>
      <x:c r="G7" s="21" t="str">
        <x:v>Floor-only WR5 types</x:v>
      </x:c>
      <x:c r="H7" s="21" t="str">
        <x:v>Shallow league makes WR replaceable</x:v>
      </x:c>
    </x:row>
    <x:row r="8" ht="54" hidden="0" customHeight="1">
      <x:c r="A8" s="21" t="str">
        <x:v>TE</x:v>
      </x:c>
      <x:c r="B8" s="21" t="n">
        <x:v>1</x:v>
      </x:c>
      <x:c r="C8" s="21" t="n">
        <x:v>1</x:v>
      </x:c>
      <x:c r="D8" s="21" t="n">
        <x:v>1</x:v>
      </x:c>
      <x:c r="E8" s="21" t="str">
        <x:v>Bowers R3; Loveland R7; otherwise late</x:v>
      </x:c>
      <x:c r="F8" s="21" t="str">
        <x:v>Real positional separation</x:v>
      </x:c>
      <x:c r="G8" s="21" t="str">
        <x:v>Two tight ends</x:v>
      </x:c>
      <x:c r="H8" s="21" t="str">
        <x:v>Stream if no leverage target lands</x:v>
      </x:c>
    </x:row>
    <x:row r="9" ht="54" hidden="0" customHeight="1">
      <x:c r="A9" s="21" t="str">
        <x:v>D/ST</x:v>
      </x:c>
      <x:c r="B9" s="21" t="n">
        <x:v>1</x:v>
      </x:c>
      <x:c r="C9" s="21" t="n">
        <x:v>1</x:v>
      </x:c>
      <x:c r="D9" s="21" t="n">
        <x:v>1</x:v>
      </x:c>
      <x:c r="E9" s="21" t="str">
        <x:v>Round 15 or 16</x:v>
      </x:c>
      <x:c r="F9" s="21" t="str">
        <x:v>Best Week 1 setup</x:v>
      </x:c>
      <x:c r="G9" s="21" t="str">
        <x:v>Paying for last year's points</x:v>
      </x:c>
      <x:c r="H9" s="21" t="str">
        <x:v>Stream matchups</x:v>
      </x:c>
    </x:row>
    <x:row r="10" ht="54" hidden="0" customHeight="1">
      <x:c r="A10" s="21" t="str">
        <x:v>K</x:v>
      </x:c>
      <x:c r="B10" s="21" t="n">
        <x:v>1</x:v>
      </x:c>
      <x:c r="C10" s="21" t="n">
        <x:v>1</x:v>
      </x:c>
      <x:c r="D10" s="21" t="n">
        <x:v>1</x:v>
      </x:c>
      <x:c r="E10" s="21" t="str">
        <x:v>Round 15 or 16</x:v>
      </x:c>
      <x:c r="F10" s="21" t="str">
        <x:v>Elite offense / long-range opportunity</x:v>
      </x:c>
      <x:c r="G10" s="21" t="str">
        <x:v>Early kicker</x:v>
      </x:c>
      <x:c r="H10" s="21" t="str">
        <x:v>Replace freely</x:v>
      </x:c>
    </x:row>
    <x:row r="11" ht="54" customHeight="1"/>
    <x:row r="12" ht="54" hidden="0" customHeight="1">
      <x:c r="A12" s="27" t="str">
        <x:v>Rule</x:v>
      </x:c>
      <x:c r="B12" s="27" t="str">
        <x:v>Threshold</x:v>
      </x:c>
      <x:c r="C12" s="27" t="str">
        <x:v>Why</x:v>
      </x:c>
      <x:c r="D12" s="27" t="str">
        <x:v>Draft action</x:v>
      </x:c>
      <x:c r="E12" s="27" t="str">
        <x:v>Example</x:v>
      </x:c>
      <x:c r="F12" s="27" t="str">
        <x:v>Counterexample</x:v>
      </x:c>
      <x:c r="G12" s="27" t="str">
        <x:v>Exception</x:v>
      </x:c>
      <x:c r="H12" s="27" t="str">
        <x:v>Priority</x:v>
      </x:c>
    </x:row>
    <x:row r="13" ht="54" hidden="0" customHeight="1">
      <x:c r="A13" s="21" t="str">
        <x:v>Opening-turn safety</x:v>
      </x:c>
      <x:c r="B13" s="21" t="str">
        <x:v>&gt;= 1 high-reliability anchor</x:v>
      </x:c>
      <x:c r="C13" s="21" t="str">
        <x:v>Prevents the roster from requiring every upside bet to hit</x:v>
      </x:c>
      <x:c r="D13" s="21" t="str">
        <x:v>Pair one reliable RB/WR with best remaining ceiling</x:v>
      </x:c>
      <x:c r="E13" s="21" t="str">
        <x:v>Taylor + CeeDee</x:v>
      </x:c>
      <x:c r="F13" s="21" t="str">
        <x:v>Achane + Jeanty</x:v>
      </x:c>
      <x:c r="G13" s="21" t="str">
        <x:v>Two elite WRs fall</x:v>
      </x:c>
      <x:c r="H13" s="21" t="str">
        <x:v>Hard</x:v>
      </x:c>
    </x:row>
    <x:row r="14" ht="54" hidden="0" customHeight="1">
      <x:c r="A14" s="21" t="str">
        <x:v>Early red flags</x:v>
      </x:c>
      <x:c r="B14" s="21" t="str">
        <x:v>Max 1 through Round 6</x:v>
      </x:c>
      <x:c r="C14" s="21" t="str">
        <x:v>Correlated injury/role risk is unnecessary in an 8-team league</x:v>
      </x:c>
      <x:c r="D14" s="21" t="str">
        <x:v>Pass on second major uncertainty</x:v>
      </x:c>
      <x:c r="E14" s="21" t="str">
        <x:v>CMC + stable WR</x:v>
      </x:c>
      <x:c r="F14" s="21" t="str">
        <x:v>CMC + Jeanty + risky rookie</x:v>
      </x:c>
      <x:c r="G14" s="21" t="str">
        <x:v>Extreme two-round discount</x:v>
      </x:c>
      <x:c r="H14" s="21" t="str">
        <x:v>Hard</x:v>
      </x:c>
    </x:row>
    <x:row r="15" ht="54" hidden="0" customHeight="1">
      <x:c r="A15" s="21" t="str">
        <x:v>Onesie discipline</x:v>
      </x:c>
      <x:c r="B15" s="21" t="str">
        <x:v>One QB and one TE</x:v>
      </x:c>
      <x:c r="C15" s="21" t="str">
        <x:v>Replacement value is high</x:v>
      </x:c>
      <x:c r="D15" s="21" t="str">
        <x:v>Do not draft backups</x:v>
      </x:c>
      <x:c r="E15" s="21" t="str">
        <x:v>Lamar + Bowers</x:v>
      </x:c>
      <x:c r="F15" s="21" t="str">
        <x:v>Two QBs or two TEs</x:v>
      </x:c>
      <x:c r="G15" s="21" t="str">
        <x:v>None before Week 1</x:v>
      </x:c>
      <x:c r="H15" s="21" t="str">
        <x:v>Hard</x:v>
      </x:c>
    </x:row>
    <x:row r="16" ht="54" hidden="0" customHeight="1">
      <x:c r="A16" s="21" t="str">
        <x:v>Bench ceiling</x:v>
      </x:c>
      <x:c r="B16" s="21" t="str">
        <x:v>Every bench RB/WR needs a path to top-20 weeks</x:v>
      </x:c>
      <x:c r="C16" s="21" t="str">
        <x:v>Floor is available on waivers</x:v>
      </x:c>
      <x:c r="D16" s="21" t="str">
        <x:v>Prefer role-changing bets</x:v>
      </x:c>
      <x:c r="E16" s="21" t="str">
        <x:v>Brooks / Mason / Corum</x:v>
      </x:c>
      <x:c r="F16" s="21" t="str">
        <x:v>Low-volume veteran</x:v>
      </x:c>
      <x:c r="G16" s="21" t="str">
        <x:v>Temporary injury fill-in</x:v>
      </x:c>
      <x:c r="H16" s="21" t="str">
        <x:v>Hard</x:v>
      </x:c>
    </x:row>
    <x:row r="17" ht="54" hidden="0" customHeight="1">
      <x:c r="A17" s="21" t="str">
        <x:v>Bye weeks</x:v>
      </x:c>
      <x:c r="B17" s="21" t="str">
        <x:v>Tiebreaker only</x:v>
      </x:c>
      <x:c r="C17" s="21" t="str">
        <x:v>Talent and value dominate</x:v>
      </x:c>
      <x:c r="D17" s="21" t="str">
        <x:v>Use bye only within same tier</x:v>
      </x:c>
      <x:c r="E17" s="21" t="str">
        <x:v>Choose equal player with better bye fit</x:v>
      </x:c>
      <x:c r="F17" s="21" t="str">
        <x:v>Reach multiple picks</x:v>
      </x:c>
      <x:c r="G17" s="21" t="str">
        <x:v>Five starters share bye</x:v>
      </x:c>
      <x:c r="H17" s="21" t="str">
        <x:v>Soft</x:v>
      </x:c>
    </x:row>
    <x:row r="18" ht="54" hidden="0" customHeight="1">
      <x:c r="A18" s="21" t="str">
        <x:v>D/ST + K</x:v>
      </x:c>
      <x:c r="B18" s="21" t="str">
        <x:v>Final two rounds</x:v>
      </x:c>
      <x:c r="C18" s="21" t="str">
        <x:v>Opportunity cost is otherwise too high</x:v>
      </x:c>
      <x:c r="D18" s="21" t="str">
        <x:v>No exceptions for brand names</x:v>
      </x:c>
      <x:c r="E18" s="21" t="str">
        <x:v>Aubrey at Round 16</x:v>
      </x:c>
      <x:c r="F18" s="21" t="str">
        <x:v>Defense in Round 11</x:v>
      </x:c>
      <x:c r="G18" s="21" t="str">
        <x:v>Unusual custom scoring</x:v>
      </x:c>
      <x:c r="H18" s="21" t="str">
        <x:v>Hard</x:v>
      </x:c>
    </x:row>
  </x:sheetData>
  <x:mergeCells>
    <x:mergeCell ref="A1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8" hidden="0" customWidth="1"/>
    <x:col min="3" max="3" width="70" hidden="0" customWidth="1"/>
    <x:col min="4" max="4" width="16" hidden="0" customWidth="1"/>
    <x:col min="5" max="5" width="16" hidden="0" customWidth="1"/>
    <x:col min="6" max="6" width="46" hidden="0" customWidth="1"/>
  </x:cols>
  <x:sheetData>
    <x:row r="1">
      <x:c r="A1" s="3" t="str">
        <x:v>2026 FANTASY DRAFT MODEL — ASSUMPTIONS &amp; SOURCES</x:v>
      </x:c>
      <x:c r="B1" s="3"/>
      <x:c r="C1" s="3"/>
      <x:c r="D1" s="3"/>
      <x:c r="E1" s="3"/>
      <x:c r="F1" s="3"/>
    </x:row>
    <x:row r="2">
      <x:c r="A2" s="3"/>
      <x:c r="B2" s="3"/>
      <x:c r="C2" s="3"/>
      <x:c r="D2" s="3"/>
      <x:c r="E2" s="3"/>
      <x:c r="F2" s="3"/>
    </x:row>
    <x:row r="3"/>
    <x:row r="4" ht="52.79999923706055" hidden="0" customHeight="1">
      <x:c r="A4" s="16" t="str">
        <x:v>League</x:v>
      </x:c>
      <x:c r="B4" s="17" t="str">
        <x:v>Idiots Take on Fantasy Football</x:v>
      </x:c>
      <x:c r="C4" s="18"/>
      <x:c r="D4" s="18"/>
      <x:c r="E4" s="18"/>
      <x:c r="F4" s="19"/>
    </x:row>
    <x:row r="5" ht="26.399999618530273" hidden="0" customHeight="1">
      <x:c r="A5" s="20" t="str">
        <x:v>Team</x:v>
      </x:c>
      <x:c r="B5" s="21" t="str">
        <x:v>Saquon my Bark</x:v>
      </x:c>
      <x:c r="C5" s="22"/>
      <x:c r="D5" s="22"/>
      <x:c r="E5" s="22"/>
      <x:c r="F5" s="23"/>
    </x:row>
    <x:row r="6" ht="39.599998474121094" hidden="0" customHeight="1">
      <x:c r="A6" s="20" t="str">
        <x:v>Format</x:v>
      </x:c>
      <x:c r="B6" s="21" t="str">
        <x:v>8-team snake, pick 8</x:v>
      </x:c>
      <x:c r="C6" s="22"/>
      <x:c r="D6" s="22"/>
      <x:c r="E6" s="22"/>
      <x:c r="F6" s="23"/>
    </x:row>
    <x:row r="7" ht="66" hidden="0" customHeight="1">
      <x:c r="A7" s="20" t="str">
        <x:v>Starters</x:v>
      </x:c>
      <x:c r="B7" s="21" t="str">
        <x:v>1 QB / 2 RB / 2 WR / 1 TE / 2 FLEX / D/ST / K</x:v>
      </x:c>
      <x:c r="C7" s="22"/>
      <x:c r="D7" s="22"/>
      <x:c r="E7" s="22"/>
      <x:c r="F7" s="23"/>
    </x:row>
    <x:row r="8" ht="26.399999618530273" hidden="0" customHeight="1">
      <x:c r="A8" s="20" t="str">
        <x:v>Bench / IR</x:v>
      </x:c>
      <x:c r="B8" s="21" t="str">
        <x:v>6 bench / 1 IR</x:v>
      </x:c>
      <x:c r="C8" s="22"/>
      <x:c r="D8" s="22"/>
      <x:c r="E8" s="22"/>
      <x:c r="F8" s="23"/>
    </x:row>
    <x:row r="9" ht="15" hidden="0" customHeight="1">
      <x:c r="A9" s="20" t="str">
        <x:v>Keepers</x:v>
      </x:c>
      <x:c r="B9" s="21" t="str">
        <x:v>None</x:v>
      </x:c>
      <x:c r="C9" s="22"/>
      <x:c r="D9" s="22"/>
      <x:c r="E9" s="22"/>
      <x:c r="F9" s="23"/>
    </x:row>
    <x:row r="10" ht="52.79999923706055" hidden="0" customHeight="1">
      <x:c r="A10" s="20" t="str">
        <x:v>Scoring assumption</x:v>
      </x:c>
      <x:c r="B10" s="21" t="str">
        <x:v>Full PPR; 4-point passing TDs</x:v>
      </x:c>
      <x:c r="C10" s="22"/>
      <x:c r="D10" s="22"/>
      <x:c r="E10" s="22"/>
      <x:c r="F10" s="23"/>
    </x:row>
    <x:row r="11" ht="79.19999694824219" hidden="0" customHeight="1">
      <x:c r="A11" s="20" t="str">
        <x:v>Primary thesis</x:v>
      </x:c>
      <x:c r="B11" s="21" t="str">
        <x:v>Reliable opening turn; increasing upside thereafter</x:v>
      </x:c>
      <x:c r="C11" s="22"/>
      <x:c r="D11" s="22"/>
      <x:c r="E11" s="22"/>
      <x:c r="F11" s="23"/>
    </x:row>
    <x:row r="12" ht="26.399999618530273" hidden="0" customHeight="1">
      <x:c r="A12" s="20" t="str">
        <x:v>Last updated</x:v>
      </x:c>
      <x:c r="B12" s="24" t="n">
        <x:v>46261</x:v>
      </x:c>
      <x:c r="C12" s="22"/>
      <x:c r="D12" s="22"/>
      <x:c r="E12" s="22"/>
      <x:c r="F12" s="23"/>
    </x:row>
    <x:row r="13" ht="15" hidden="0" customHeight="1">
      <x:c r="A13" s="25"/>
      <x:c r="B13" s="22"/>
      <x:c r="C13" s="22"/>
      <x:c r="D13" s="22"/>
      <x:c r="E13" s="22"/>
      <x:c r="F13" s="23"/>
    </x:row>
    <x:row r="14" ht="15" hidden="0" customHeight="1">
      <x:c r="A14" s="25"/>
      <x:c r="B14" s="22"/>
      <x:c r="C14" s="22"/>
      <x:c r="D14" s="22"/>
      <x:c r="E14" s="22"/>
      <x:c r="F14" s="23"/>
    </x:row>
    <x:row r="15" ht="26.399999618530273" hidden="0" customHeight="1">
      <x:c r="A15" s="26" t="str">
        <x:v>Phase</x:v>
      </x:c>
      <x:c r="B15" s="27" t="str">
        <x:v>Reliability Weight</x:v>
      </x:c>
      <x:c r="C15" s="27" t="str">
        <x:v>Upside Weight</x:v>
      </x:c>
      <x:c r="D15" s="22"/>
      <x:c r="E15" s="22"/>
      <x:c r="F15" s="23"/>
    </x:row>
    <x:row r="16" ht="15" hidden="0" customHeight="1">
      <x:c r="A16" s="25" t="str">
        <x:v>Anchor</x:v>
      </x:c>
      <x:c r="B16" s="28" t="n">
        <x:v>0.7</x:v>
      </x:c>
      <x:c r="C16" s="28" t="n">
        <x:v>0.3</x:v>
      </x:c>
      <x:c r="D16" s="22"/>
      <x:c r="E16" s="22"/>
      <x:c r="F16" s="23"/>
    </x:row>
    <x:row r="17" ht="15" hidden="0" customHeight="1">
      <x:c r="A17" s="25" t="str">
        <x:v>Build</x:v>
      </x:c>
      <x:c r="B17" s="28" t="n">
        <x:v>0.45</x:v>
      </x:c>
      <x:c r="C17" s="28" t="n">
        <x:v>0.55</x:v>
      </x:c>
      <x:c r="D17" s="22"/>
      <x:c r="E17" s="22"/>
      <x:c r="F17" s="23"/>
    </x:row>
    <x:row r="18" ht="15" hidden="0" customHeight="1">
      <x:c r="A18" s="25" t="str">
        <x:v>Upside</x:v>
      </x:c>
      <x:c r="B18" s="28" t="n">
        <x:v>0.25</x:v>
      </x:c>
      <x:c r="C18" s="28" t="n">
        <x:v>0.75</x:v>
      </x:c>
      <x:c r="D18" s="22"/>
      <x:c r="E18" s="22"/>
      <x:c r="F18" s="23"/>
    </x:row>
    <x:row r="19" ht="15" hidden="0" customHeight="1">
      <x:c r="A19" s="25" t="str">
        <x:v>Lottery</x:v>
      </x:c>
      <x:c r="B19" s="28" t="n">
        <x:v>0.1</x:v>
      </x:c>
      <x:c r="C19" s="28" t="n">
        <x:v>0.9</x:v>
      </x:c>
      <x:c r="D19" s="22"/>
      <x:c r="E19" s="22"/>
      <x:c r="F19" s="23"/>
    </x:row>
    <x:row r="20" ht="15" hidden="0" customHeight="1">
      <x:c r="A20" s="25"/>
      <x:c r="B20" s="22"/>
      <x:c r="C20" s="22"/>
      <x:c r="D20" s="22"/>
      <x:c r="E20" s="22"/>
      <x:c r="F20" s="23"/>
    </x:row>
    <x:row r="21" ht="15" hidden="0" customHeight="1">
      <x:c r="A21" s="25"/>
      <x:c r="B21" s="22"/>
      <x:c r="C21" s="22"/>
      <x:c r="D21" s="22"/>
      <x:c r="E21" s="22"/>
      <x:c r="F21" s="23"/>
    </x:row>
    <x:row r="22" ht="15" hidden="0" customHeight="1">
      <x:c r="A22" s="26" t="str">
        <x:v>Source</x:v>
      </x:c>
      <x:c r="B22" s="27" t="str">
        <x:v>Purpose</x:v>
      </x:c>
      <x:c r="C22" s="27" t="str">
        <x:v>URL</x:v>
      </x:c>
      <x:c r="D22" s="27" t="str">
        <x:v>As of</x:v>
      </x:c>
      <x:c r="E22" s="27" t="str">
        <x:v>Scope</x:v>
      </x:c>
      <x:c r="F22" s="29" t="str">
        <x:v>Notes</x:v>
      </x:c>
    </x:row>
    <x:row r="23" ht="15" hidden="0" customHeight="1">
      <x:c r="A23" s="25" t="str">
        <x:v>ESPN PPR Top 300</x:v>
      </x:c>
      <x:c r="B23" s="22" t="str">
        <x:v>Default-room rank</x:v>
      </x:c>
      <x:c r="C23" s="22" t="str">
        <x:v>https://g.espncdn.com/s/ffldraftkit/26/NFL26_CS_PPR300.pdf?adddata=2026CS_PPR300</x:v>
      </x:c>
      <x:c r="D23" s="30" t="n">
        <x:v>46253</x:v>
      </x:c>
      <x:c r="E23" s="22" t="str">
        <x:v>Top 300</x:v>
      </x:c>
      <x:c r="F23" s="23" t="str">
        <x:v>10-team ESPN baseline; used as room-behavior signal</x:v>
      </x:c>
    </x:row>
    <x:row r="24" ht="15" hidden="0" customHeight="1">
      <x:c r="A24" s="25" t="str">
        <x:v>8-team live ADP</x:v>
      </x:c>
      <x:c r="B24" s="22" t="str">
        <x:v>Market price</x:v>
      </x:c>
      <x:c r="C24" s="22" t="str">
        <x:v>https://fantasyfootballcalculator.com/adp/ppr/8-team/all</x:v>
      </x:c>
      <x:c r="D24" s="30" t="n">
        <x:v>46261</x:v>
      </x:c>
      <x:c r="E24" s="22" t="str">
        <x:v>7,986 mocks</x:v>
      </x:c>
      <x:c r="F24" s="23" t="str">
        <x:v>Mocks from Aug. 20–27</x:v>
      </x:c>
    </x:row>
    <x:row r="25" ht="15" hidden="0" customHeight="1">
      <x:c r="A25" s="25" t="str">
        <x:v>RotoWire consensus</x:v>
      </x:c>
      <x:c r="B25" s="22" t="str">
        <x:v>Expert model rank</x:v>
      </x:c>
      <x:c r="C25" s="22" t="str">
        <x:v>https://www.rotowire.com/football/article/2026-fantasy-football-rankings-ppr-preseason-week-2-update-129449</x:v>
      </x:c>
      <x:c r="D25" s="30" t="n">
        <x:v>46256</x:v>
      </x:c>
      <x:c r="E25" s="22" t="str">
        <x:v>PPR</x:v>
      </x:c>
      <x:c r="F25" s="23" t="str">
        <x:v>Five-analyst consensus</x:v>
      </x:c>
    </x:row>
    <x:row r="26" ht="15" hidden="0" customHeight="1">
      <x:c r="A26" s="25" t="str">
        <x:v>ESPN value analysis</x:v>
      </x:c>
      <x:c r="B26" s="22" t="str">
        <x:v>Platform exploitation</x:v>
      </x:c>
      <x:c r="C26" s="22" t="str">
        <x:v>https://www.rotowire.com/football/article/2026-fantasy-football-adp-exploiting-default-rankings-on-espn-129135</x:v>
      </x:c>
      <x:c r="D26" s="30" t="n">
        <x:v>46255</x:v>
      </x:c>
      <x:c r="E26" s="22" t="str">
        <x:v>ESPN</x:v>
      </x:c>
      <x:c r="F26" s="23" t="str">
        <x:v>Compares ESPN default ranks with external markets</x:v>
      </x:c>
    </x:row>
    <x:row r="27" ht="15" hidden="0" customHeight="1">
      <x:c r="A27" s="31" t="str">
        <x:v>Flaim league data</x:v>
      </x:c>
      <x:c r="B27" s="32" t="str">
        <x:v>Roster and league configuration</x:v>
      </x:c>
      <x:c r="C27" s="32" t="str">
        <x:v>https://flaim.app/leagues</x:v>
      </x:c>
      <x:c r="D27" s="33" t="n">
        <x:v>46261</x:v>
      </x:c>
      <x:c r="E27" s="32" t="str">
        <x:v>User league</x:v>
      </x:c>
      <x:c r="F27" s="34" t="str">
        <x:v>Connected ESPN league settings</x:v>
      </x:c>
    </x:row>
  </x:sheetData>
  <x:mergeCells>
    <x:mergeCell ref="A1:F2"/>
  </x:mergeCells>
  <x:pageMargins left="0.7" right="0.7" top="0.75" bottom="0.75" header="0.3" footer="0.3"/>
  <x:legacyDrawing xmlns:r="http://schemas.openxmlformats.org/officeDocument/2006/relationships" r:id="R1c2d4af1323c48f4"/>
</x:worksheet>
</file>